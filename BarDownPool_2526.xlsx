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oluk\PycharmProjects\NSTstats\"/>
    </mc:Choice>
  </mc:AlternateContent>
  <xr:revisionPtr revIDLastSave="0" documentId="8_{47F7CBB9-EAD0-4961-BC43-28E24F6FAB88}" xr6:coauthVersionLast="47" xr6:coauthVersionMax="47" xr10:uidLastSave="{00000000-0000-0000-0000-000000000000}"/>
  <bookViews>
    <workbookView xWindow="-28920" yWindow="-120" windowWidth="29040" windowHeight="15720" xr2:uid="{CF4CC36A-1D82-4704-BFAF-6197CFE390F2}"/>
  </bookViews>
  <sheets>
    <sheet name="SourceData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97" i="1" l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X2" i="1"/>
</calcChain>
</file>

<file path=xl/sharedStrings.xml><?xml version="1.0" encoding="utf-8"?>
<sst xmlns="http://schemas.openxmlformats.org/spreadsheetml/2006/main" count="267" uniqueCount="56">
  <si>
    <t>Team</t>
  </si>
  <si>
    <t>G</t>
  </si>
  <si>
    <t>A</t>
  </si>
  <si>
    <t>+/-</t>
  </si>
  <si>
    <t>PIM</t>
  </si>
  <si>
    <t>PPP</t>
  </si>
  <si>
    <t>SHP</t>
  </si>
  <si>
    <t>SOG</t>
  </si>
  <si>
    <t>FW</t>
  </si>
  <si>
    <t>HIT</t>
  </si>
  <si>
    <t>BLK</t>
  </si>
  <si>
    <t>W</t>
  </si>
  <si>
    <t>GA</t>
  </si>
  <si>
    <t>GAA</t>
  </si>
  <si>
    <t>SV*</t>
  </si>
  <si>
    <t>SA*</t>
  </si>
  <si>
    <t>SV%</t>
  </si>
  <si>
    <t>SHO</t>
  </si>
  <si>
    <t>Ttl</t>
  </si>
  <si>
    <t>Wk</t>
  </si>
  <si>
    <t>Match</t>
  </si>
  <si>
    <t>AB</t>
  </si>
  <si>
    <t>PlyrGP</t>
  </si>
  <si>
    <t>Owner</t>
  </si>
  <si>
    <t>Trocheck Backcheck Paycheque</t>
  </si>
  <si>
    <t>Hughes your daddy</t>
  </si>
  <si>
    <t>B</t>
  </si>
  <si>
    <t>Jagrbombs</t>
  </si>
  <si>
    <t>The Epstein Islanders</t>
  </si>
  <si>
    <t>Bar Down Beauties</t>
  </si>
  <si>
    <t>robert's Fabulous Team</t>
  </si>
  <si>
    <t>Autodraft Anomalies</t>
  </si>
  <si>
    <t>P Diddlers</t>
  </si>
  <si>
    <t>Sask Squatches</t>
  </si>
  <si>
    <t>Boats and Ahos</t>
  </si>
  <si>
    <t>Bros before Ahos</t>
  </si>
  <si>
    <t>Dan's Dazzling Team</t>
  </si>
  <si>
    <t>Filter Scoring Category (G,A,…)</t>
  </si>
  <si>
    <t>Actual</t>
  </si>
  <si>
    <t>Per GP</t>
  </si>
  <si>
    <t>All Teams Average</t>
  </si>
  <si>
    <t>Rank or Z-Score or ??</t>
  </si>
  <si>
    <t>Last Week</t>
  </si>
  <si>
    <t>Last 3 Weeks</t>
  </si>
  <si>
    <t>All Weeks</t>
  </si>
  <si>
    <t>Team1</t>
  </si>
  <si>
    <t>Team2</t>
  </si>
  <si>
    <t>Average</t>
  </si>
  <si>
    <t>For Most Recent Week</t>
  </si>
  <si>
    <t>Through X Weeks</t>
  </si>
  <si>
    <t>Throut All Weeks</t>
  </si>
  <si>
    <t>Actual per GP</t>
  </si>
  <si>
    <t>Over all weeks</t>
  </si>
  <si>
    <t>Averages</t>
  </si>
  <si>
    <t>Std Deviations</t>
  </si>
  <si>
    <t>Z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</si>
</sst>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rgb="FF232A31"/>
      <name val="Arial"/>
      <family val="2"/>
    </font>
    <font>
      <sz val="8"/>
      <color theme="0"/>
      <name val="Arial"/>
      <family val="2"/>
    </font>
    <font>
      <sz val="11"/>
      <color rgb="FF232A3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-0.249977111117893"/>
        <bgColor indexed="64"/>
      </patternFill>
    </fill>
  </fills>
  <borders count="4">
    <border>
      <left/>
      <right/>
      <top/>
      <bottom/>
      <diagonal/>
    </border>
    <border>
      <left style="medium">
        <color rgb="FFE0E4E9"/>
      </left>
      <right/>
      <top style="medium">
        <color rgb="FFE0E4E9"/>
      </top>
      <bottom style="medium">
        <color rgb="FFE0E4E9"/>
      </bottom>
      <diagonal/>
    </border>
    <border>
      <left/>
      <right/>
      <top style="medium">
        <color rgb="FFE0E4E9"/>
      </top>
      <bottom style="medium">
        <color rgb="FFE0E4E9"/>
      </bottom>
      <diagonal/>
    </border>
    <border>
      <left/>
      <right style="medium">
        <color rgb="FFE0E4E9"/>
      </right>
      <top style="medium">
        <color rgb="FFE0E4E9"/>
      </top>
      <bottom style="medium">
        <color rgb="FFE0E4E9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3" fillId="0" borderId="1" xfId="0" applyFont="1" applyBorder="1" applyAlignment="1">
      <alignment horizontal="left" vertical="center" wrapText="1" indent="2"/>
    </xf>
    <xf numFmtId="0" fontId="3" fillId="2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164" fontId="4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164" fontId="0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21">
    <dxf>
      <numFmt numFmtId="0" formatCode="General"/>
    </dxf>
    <dxf>
      <font>
        <b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0.0%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rgb="FF232A31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15efd729d38ab58/Documents/FantasyNHL/YahPoolResults2526.xlsx" TargetMode="External"/><Relationship Id="rId1" Type="http://schemas.openxmlformats.org/officeDocument/2006/relationships/externalLinkPath" Target="https://d.docs.live.net/a15efd729d38ab58/Documents/FantasyNHL/YahPoolResults25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urceData"/>
      <sheetName val="PctRk"/>
      <sheetName val="BoxWhskr (2)"/>
      <sheetName val="WklyStats"/>
      <sheetName val="Skaters"/>
      <sheetName val="GPbyWk"/>
      <sheetName val="TtlxCat"/>
      <sheetName val="Trend-Other"/>
      <sheetName val="Trend-Banger"/>
      <sheetName val="Trend-GAPPP"/>
      <sheetName val="ActvExp"/>
      <sheetName val="sk8_tbls"/>
      <sheetName val="Expect"/>
      <sheetName val="GoalieData"/>
      <sheetName val="Re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9A4CAF-E764-4CB2-BB6A-38C12CBD270B}" name="Data" displayName="Data" ref="A1:X97" totalsRowShown="0" headerRowDxfId="19">
  <autoFilter ref="A1:X97" xr:uid="{D54B524D-397C-450F-A7DF-097952201372}"/>
  <tableColumns count="24">
    <tableColumn id="1" xr3:uid="{F1A26440-D4CD-4562-9141-91D9D648F957}" name="Team"/>
    <tableColumn id="2" xr3:uid="{7F688B00-4F24-47EA-BE7B-B74239B88745}" name="G" dataDxfId="18"/>
    <tableColumn id="3" xr3:uid="{D91948C5-8531-4B5F-8FE2-E2C9035014CE}" name="A" dataDxfId="17"/>
    <tableColumn id="4" xr3:uid="{BFEE326F-64FF-4071-A1EF-EC04F584A56F}" name="+/-" dataDxfId="16"/>
    <tableColumn id="5" xr3:uid="{CBF57BCA-BFF8-4F28-A854-99D0870A7652}" name="PIM" dataDxfId="15"/>
    <tableColumn id="6" xr3:uid="{E352080B-FA73-4C6A-B35E-0DC0B51963A1}" name="PPP" dataDxfId="14"/>
    <tableColumn id="7" xr3:uid="{829BC141-581F-4F42-B175-7AE04F2FD175}" name="SHP" dataDxfId="13"/>
    <tableColumn id="8" xr3:uid="{B2B68AFE-5CA8-4761-83C0-7EC688ADB048}" name="SOG" dataDxfId="12"/>
    <tableColumn id="9" xr3:uid="{C165E524-4648-4A63-91D5-984819FFB57A}" name="FW" dataDxfId="11"/>
    <tableColumn id="10" xr3:uid="{A59D5D61-CD3D-42BC-986D-9ADC16EF03B3}" name="HIT" dataDxfId="10"/>
    <tableColumn id="11" xr3:uid="{82D193F2-B262-4489-8DC0-B4A480E11697}" name="BLK" dataDxfId="9"/>
    <tableColumn id="12" xr3:uid="{11C0164C-C2C4-440C-9016-A6E07706556E}" name="W" dataDxfId="8"/>
    <tableColumn id="13" xr3:uid="{BD519BC1-A33A-4E28-8DFD-C7AA009AAFC1}" name="GA" dataDxfId="7"/>
    <tableColumn id="14" xr3:uid="{8B0BC8BA-4169-4072-ACCF-81A072C42621}" name="GAA" dataDxfId="6"/>
    <tableColumn id="15" xr3:uid="{C48EF06F-1B60-4C59-8561-E641A6C74E2F}" name="SV*" dataDxfId="5"/>
    <tableColumn id="16" xr3:uid="{FEADDAA5-9751-48B1-A4F3-1E257AEAA197}" name="SA*" dataDxfId="4"/>
    <tableColumn id="17" xr3:uid="{426C4DA9-094C-4BEF-BBC2-9D597F1A4FCE}" name="SV%" dataDxfId="3" dataCellStyle="Percent"/>
    <tableColumn id="18" xr3:uid="{9F857E5C-A0DE-4AC0-8B44-DC572E50C7B3}" name="SHO" dataDxfId="2"/>
    <tableColumn id="19" xr3:uid="{28CDBF2B-4567-40FE-B5FA-61FEE75E03E1}" name="Ttl" dataDxfId="1"/>
    <tableColumn id="20" xr3:uid="{75BA850E-1F8A-4786-8254-84F1204D501E}" name="Wk"/>
    <tableColumn id="21" xr3:uid="{39A2BBC7-87F0-407E-B172-BBC994A3C4DC}" name="Match"/>
    <tableColumn id="23" xr3:uid="{D8A7A180-C2AD-4C87-87C7-C70F98AE96CE}" name="AB"/>
    <tableColumn id="22" xr3:uid="{DE1769A3-A95A-4AC2-AA20-C67E7606AA14}" name="PlyrGP"/>
    <tableColumn id="24" xr3:uid="{3790B6D2-DE1C-44F9-A7FF-B425C7092339}" name="Owner" dataDxfId="0">
      <calculatedColumnFormula>_xlfn.XLOOKUP(Data[[#This Row],[Team]],[1]!Table2[TeamName],[1]!Table2[Owner])</calculatedColumnFormula>
    </tableColumn>
  </tableColumns>
  <tableStyleInfo name="TableStyleLight2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Red Violet">
      <a:dk1>
        <a:sysClr val="windowText" lastClr="000000"/>
      </a:dk1>
      <a:lt1>
        <a:sysClr val="window" lastClr="FFFFFF"/>
      </a:lt1>
      <a:dk2>
        <a:srgbClr val="454551"/>
      </a:dk2>
      <a:lt2>
        <a:srgbClr val="D8D9DC"/>
      </a:lt2>
      <a:accent1>
        <a:srgbClr val="E32D91"/>
      </a:accent1>
      <a:accent2>
        <a:srgbClr val="C830CC"/>
      </a:accent2>
      <a:accent3>
        <a:srgbClr val="4EA6DC"/>
      </a:accent3>
      <a:accent4>
        <a:srgbClr val="4775E7"/>
      </a:accent4>
      <a:accent5>
        <a:srgbClr val="8971E1"/>
      </a:accent5>
      <a:accent6>
        <a:srgbClr val="D54773"/>
      </a:accent6>
      <a:hlink>
        <a:srgbClr val="6B9F25"/>
      </a:hlink>
      <a:folHlink>
        <a:srgbClr val="8C8C8C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2B77-D8EB-4DFE-9F1A-0B8E39F3CC8F}">
  <sheetPr>
    <tabColor theme="1"/>
  </sheetPr>
  <dimension ref="A1:X123"/>
  <sheetViews>
    <sheetView tabSelected="1" topLeftCell="A54" zoomScale="85" zoomScaleNormal="85" workbookViewId="0">
      <selection sqref="A1:X97"/>
    </sheetView>
  </sheetViews>
  <sheetFormatPr defaultRowHeight="14.4" x14ac:dyDescent="0.3"/>
  <cols>
    <col min="1" max="1" width="28.88671875" bestFit="1" customWidth="1"/>
    <col min="17" max="17" width="8.88671875" style="11"/>
  </cols>
  <sheetData>
    <row r="1" spans="1:24" ht="15" thickBot="1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5" t="s">
        <v>17</v>
      </c>
      <c r="S1" s="6" t="s">
        <v>18</v>
      </c>
      <c r="T1" s="7" t="s">
        <v>19</v>
      </c>
      <c r="U1" s="7" t="s">
        <v>20</v>
      </c>
      <c r="V1" s="7" t="s">
        <v>21</v>
      </c>
      <c r="W1" s="7" t="s">
        <v>22</v>
      </c>
      <c r="X1" s="7" t="s">
        <v>23</v>
      </c>
    </row>
    <row r="2" spans="1:24" x14ac:dyDescent="0.3">
      <c r="A2" t="s">
        <v>24</v>
      </c>
      <c r="B2" s="8">
        <v>10</v>
      </c>
      <c r="C2" s="8">
        <v>20</v>
      </c>
      <c r="D2" s="8">
        <v>17</v>
      </c>
      <c r="E2" s="8">
        <v>21</v>
      </c>
      <c r="F2" s="8">
        <v>7</v>
      </c>
      <c r="G2" s="8">
        <v>0</v>
      </c>
      <c r="H2" s="8">
        <v>71</v>
      </c>
      <c r="I2" s="8">
        <v>110</v>
      </c>
      <c r="J2" s="8">
        <v>62</v>
      </c>
      <c r="K2" s="8">
        <v>49</v>
      </c>
      <c r="L2" s="8">
        <v>2</v>
      </c>
      <c r="M2" s="8">
        <v>6</v>
      </c>
      <c r="N2" s="8">
        <v>2.02</v>
      </c>
      <c r="O2" s="8">
        <v>67</v>
      </c>
      <c r="P2" s="8">
        <v>73</v>
      </c>
      <c r="Q2" s="9">
        <v>0.91800000000000004</v>
      </c>
      <c r="R2" s="8">
        <v>0</v>
      </c>
      <c r="S2" s="10">
        <v>11</v>
      </c>
      <c r="T2">
        <v>1</v>
      </c>
      <c r="U2">
        <v>1</v>
      </c>
      <c r="V2" t="s">
        <v>2</v>
      </c>
      <c r="W2">
        <v>38</v>
      </c>
      <c r="X2" t="str">
        <f>_xlfn.XLOOKUP(Data[[#This Row],[Team]],[1]!Table2[TeamName],[1]!Table2[Owner])</f>
        <v>Dave</v>
      </c>
    </row>
    <row r="3" spans="1:24" x14ac:dyDescent="0.3">
      <c r="A3" t="s">
        <v>25</v>
      </c>
      <c r="B3" s="8">
        <v>4</v>
      </c>
      <c r="C3" s="8">
        <v>12</v>
      </c>
      <c r="D3" s="8">
        <v>0</v>
      </c>
      <c r="E3" s="8">
        <v>18</v>
      </c>
      <c r="F3" s="8">
        <v>6</v>
      </c>
      <c r="G3" s="8">
        <v>0</v>
      </c>
      <c r="H3" s="8">
        <v>82</v>
      </c>
      <c r="I3" s="8">
        <v>98</v>
      </c>
      <c r="J3" s="8">
        <v>36</v>
      </c>
      <c r="K3" s="8">
        <v>26</v>
      </c>
      <c r="L3" s="8">
        <v>2</v>
      </c>
      <c r="M3" s="8">
        <v>8</v>
      </c>
      <c r="N3" s="8">
        <v>2.0299999999999998</v>
      </c>
      <c r="O3" s="8">
        <v>88</v>
      </c>
      <c r="P3" s="8">
        <v>96</v>
      </c>
      <c r="Q3" s="9">
        <v>0.91700000000000004</v>
      </c>
      <c r="R3" s="8">
        <v>1</v>
      </c>
      <c r="S3" s="10">
        <v>2</v>
      </c>
      <c r="T3">
        <v>1</v>
      </c>
      <c r="U3">
        <v>1</v>
      </c>
      <c r="V3" t="s">
        <v>26</v>
      </c>
      <c r="W3">
        <v>36</v>
      </c>
      <c r="X3" t="str">
        <f>_xlfn.XLOOKUP(Data[[#This Row],[Team]],[1]!Table2[TeamName],[1]!Table2[Owner])</f>
        <v>Avery</v>
      </c>
    </row>
    <row r="4" spans="1:24" x14ac:dyDescent="0.3">
      <c r="A4" t="s">
        <v>27</v>
      </c>
      <c r="B4" s="8">
        <v>5</v>
      </c>
      <c r="C4" s="8">
        <v>15</v>
      </c>
      <c r="D4" s="8">
        <v>0</v>
      </c>
      <c r="E4" s="8">
        <v>20</v>
      </c>
      <c r="F4" s="8">
        <v>6</v>
      </c>
      <c r="G4" s="8">
        <v>1</v>
      </c>
      <c r="H4" s="8">
        <v>55</v>
      </c>
      <c r="I4" s="8">
        <v>98</v>
      </c>
      <c r="J4" s="8">
        <v>33</v>
      </c>
      <c r="K4" s="8">
        <v>34</v>
      </c>
      <c r="L4" s="8">
        <v>1</v>
      </c>
      <c r="M4" s="8">
        <v>6</v>
      </c>
      <c r="N4" s="8">
        <v>2.0299999999999998</v>
      </c>
      <c r="O4" s="8">
        <v>87</v>
      </c>
      <c r="P4" s="8">
        <v>93</v>
      </c>
      <c r="Q4" s="9">
        <v>0.93500000000000005</v>
      </c>
      <c r="R4" s="8">
        <v>0</v>
      </c>
      <c r="S4" s="10">
        <v>5</v>
      </c>
      <c r="T4">
        <v>1</v>
      </c>
      <c r="U4">
        <v>2</v>
      </c>
      <c r="V4" t="s">
        <v>2</v>
      </c>
      <c r="W4">
        <v>36</v>
      </c>
      <c r="X4" t="str">
        <f>_xlfn.XLOOKUP(Data[[#This Row],[Team]],[1]!Table2[TeamName],[1]!Table2[Owner])</f>
        <v>Kevin</v>
      </c>
    </row>
    <row r="5" spans="1:24" x14ac:dyDescent="0.3">
      <c r="A5" t="s">
        <v>28</v>
      </c>
      <c r="B5" s="8">
        <v>8</v>
      </c>
      <c r="C5" s="8">
        <v>12</v>
      </c>
      <c r="D5" s="8">
        <v>0</v>
      </c>
      <c r="E5" s="8">
        <v>26</v>
      </c>
      <c r="F5" s="8">
        <v>7</v>
      </c>
      <c r="G5" s="8">
        <v>1</v>
      </c>
      <c r="H5" s="8">
        <v>92</v>
      </c>
      <c r="I5" s="8">
        <v>50</v>
      </c>
      <c r="J5" s="8">
        <v>71</v>
      </c>
      <c r="K5" s="8">
        <v>36</v>
      </c>
      <c r="L5" s="8">
        <v>1</v>
      </c>
      <c r="M5" s="8">
        <v>9</v>
      </c>
      <c r="N5" s="8">
        <v>2.95</v>
      </c>
      <c r="O5" s="8">
        <v>77</v>
      </c>
      <c r="P5" s="8">
        <v>86</v>
      </c>
      <c r="Q5" s="9">
        <v>0.89500000000000002</v>
      </c>
      <c r="R5" s="8">
        <v>0</v>
      </c>
      <c r="S5" s="10">
        <v>6</v>
      </c>
      <c r="T5">
        <v>1</v>
      </c>
      <c r="U5">
        <v>2</v>
      </c>
      <c r="V5" t="s">
        <v>26</v>
      </c>
      <c r="W5">
        <v>40</v>
      </c>
      <c r="X5" t="str">
        <f>_xlfn.XLOOKUP(Data[[#This Row],[Team]],[1]!Table2[TeamName],[1]!Table2[Owner])</f>
        <v>Matt</v>
      </c>
    </row>
    <row r="6" spans="1:24" x14ac:dyDescent="0.3">
      <c r="A6" t="s">
        <v>29</v>
      </c>
      <c r="B6" s="8">
        <v>10</v>
      </c>
      <c r="C6" s="8">
        <v>13</v>
      </c>
      <c r="D6" s="8">
        <v>2</v>
      </c>
      <c r="E6" s="8">
        <v>16</v>
      </c>
      <c r="F6" s="8">
        <v>8</v>
      </c>
      <c r="G6" s="8">
        <v>3</v>
      </c>
      <c r="H6" s="8">
        <v>86</v>
      </c>
      <c r="I6" s="8">
        <v>22</v>
      </c>
      <c r="J6" s="8">
        <v>42</v>
      </c>
      <c r="K6" s="8">
        <v>22</v>
      </c>
      <c r="L6" s="8">
        <v>1</v>
      </c>
      <c r="M6" s="8">
        <v>11</v>
      </c>
      <c r="N6" s="8">
        <v>2.82</v>
      </c>
      <c r="O6" s="8">
        <v>96</v>
      </c>
      <c r="P6" s="8">
        <v>107</v>
      </c>
      <c r="Q6" s="9">
        <v>0.89700000000000002</v>
      </c>
      <c r="R6" s="8">
        <v>0</v>
      </c>
      <c r="S6" s="10">
        <v>10</v>
      </c>
      <c r="T6">
        <v>1</v>
      </c>
      <c r="U6">
        <v>3</v>
      </c>
      <c r="V6" t="s">
        <v>2</v>
      </c>
      <c r="W6">
        <v>38</v>
      </c>
      <c r="X6" t="str">
        <f>_xlfn.XLOOKUP(Data[[#This Row],[Team]],[1]!Table2[TeamName],[1]!Table2[Owner])</f>
        <v>Spencer</v>
      </c>
    </row>
    <row r="7" spans="1:24" x14ac:dyDescent="0.3">
      <c r="A7" t="s">
        <v>30</v>
      </c>
      <c r="B7" s="8">
        <v>5</v>
      </c>
      <c r="C7" s="8">
        <v>13</v>
      </c>
      <c r="D7" s="8">
        <v>2</v>
      </c>
      <c r="E7" s="8">
        <v>12</v>
      </c>
      <c r="F7" s="8">
        <v>4</v>
      </c>
      <c r="G7" s="8">
        <v>0</v>
      </c>
      <c r="H7" s="8">
        <v>44</v>
      </c>
      <c r="I7" s="8">
        <v>38</v>
      </c>
      <c r="J7" s="8">
        <v>21</v>
      </c>
      <c r="K7" s="8">
        <v>18</v>
      </c>
      <c r="L7" s="8">
        <v>1</v>
      </c>
      <c r="M7" s="8">
        <v>13</v>
      </c>
      <c r="N7" s="8">
        <v>4.3600000000000003</v>
      </c>
      <c r="O7" s="8">
        <v>57</v>
      </c>
      <c r="P7" s="8">
        <v>70</v>
      </c>
      <c r="Q7" s="9">
        <v>0.81399999999999995</v>
      </c>
      <c r="R7" s="8">
        <v>0</v>
      </c>
      <c r="S7" s="10">
        <v>1</v>
      </c>
      <c r="T7">
        <v>1</v>
      </c>
      <c r="U7">
        <v>3</v>
      </c>
      <c r="V7" t="s">
        <v>26</v>
      </c>
      <c r="W7">
        <v>31</v>
      </c>
      <c r="X7" t="str">
        <f>_xlfn.XLOOKUP(Data[[#This Row],[Team]],[1]!Table2[TeamName],[1]!Table2[Owner])</f>
        <v>Robert</v>
      </c>
    </row>
    <row r="8" spans="1:24" x14ac:dyDescent="0.3">
      <c r="A8" t="s">
        <v>31</v>
      </c>
      <c r="B8" s="8">
        <v>13</v>
      </c>
      <c r="C8" s="8">
        <v>14</v>
      </c>
      <c r="D8" s="8">
        <v>-3</v>
      </c>
      <c r="E8" s="8">
        <v>10</v>
      </c>
      <c r="F8" s="8">
        <v>11</v>
      </c>
      <c r="G8" s="8">
        <v>0</v>
      </c>
      <c r="H8" s="8">
        <v>72</v>
      </c>
      <c r="I8" s="8">
        <v>78</v>
      </c>
      <c r="J8" s="8">
        <v>24</v>
      </c>
      <c r="K8" s="8">
        <v>35</v>
      </c>
      <c r="L8" s="8">
        <v>3</v>
      </c>
      <c r="M8" s="8">
        <v>18</v>
      </c>
      <c r="N8" s="8">
        <v>3.59</v>
      </c>
      <c r="O8" s="8">
        <v>133</v>
      </c>
      <c r="P8" s="8">
        <v>151</v>
      </c>
      <c r="Q8" s="9">
        <v>0.88100000000000001</v>
      </c>
      <c r="R8" s="8">
        <v>0</v>
      </c>
      <c r="S8" s="10">
        <v>5</v>
      </c>
      <c r="T8">
        <v>1</v>
      </c>
      <c r="U8">
        <v>4</v>
      </c>
      <c r="V8" t="s">
        <v>2</v>
      </c>
      <c r="W8">
        <v>35</v>
      </c>
      <c r="X8" t="str">
        <f>_xlfn.XLOOKUP(Data[[#This Row],[Team]],[1]!Table2[TeamName],[1]!Table2[Owner])</f>
        <v>Chris</v>
      </c>
    </row>
    <row r="9" spans="1:24" x14ac:dyDescent="0.3">
      <c r="A9" t="s">
        <v>32</v>
      </c>
      <c r="B9" s="8">
        <v>11</v>
      </c>
      <c r="C9" s="8">
        <v>21</v>
      </c>
      <c r="D9" s="8">
        <v>-6</v>
      </c>
      <c r="E9" s="8">
        <v>12</v>
      </c>
      <c r="F9" s="8">
        <v>12</v>
      </c>
      <c r="G9" s="8">
        <v>1</v>
      </c>
      <c r="H9" s="8">
        <v>78</v>
      </c>
      <c r="I9" s="8">
        <v>62</v>
      </c>
      <c r="J9" s="8">
        <v>37</v>
      </c>
      <c r="K9" s="8">
        <v>32</v>
      </c>
      <c r="L9" s="8">
        <v>2</v>
      </c>
      <c r="M9" s="8">
        <v>5</v>
      </c>
      <c r="N9" s="8">
        <v>1.66</v>
      </c>
      <c r="O9" s="8">
        <v>80</v>
      </c>
      <c r="P9" s="8">
        <v>85</v>
      </c>
      <c r="Q9" s="9">
        <v>0.94099999999999995</v>
      </c>
      <c r="R9" s="8">
        <v>0</v>
      </c>
      <c r="S9" s="10">
        <v>9</v>
      </c>
      <c r="T9">
        <v>1</v>
      </c>
      <c r="U9">
        <v>4</v>
      </c>
      <c r="V9" t="s">
        <v>26</v>
      </c>
      <c r="W9">
        <v>33</v>
      </c>
      <c r="X9" t="str">
        <f>_xlfn.XLOOKUP(Data[[#This Row],[Team]],[1]!Table2[TeamName],[1]!Table2[Owner])</f>
        <v>Scott</v>
      </c>
    </row>
    <row r="10" spans="1:24" x14ac:dyDescent="0.3">
      <c r="A10" t="s">
        <v>33</v>
      </c>
      <c r="B10" s="8">
        <v>2</v>
      </c>
      <c r="C10" s="8">
        <v>16</v>
      </c>
      <c r="D10" s="8">
        <v>9</v>
      </c>
      <c r="E10" s="8">
        <v>14</v>
      </c>
      <c r="F10" s="8">
        <v>6</v>
      </c>
      <c r="G10" s="8">
        <v>1</v>
      </c>
      <c r="H10" s="8">
        <v>69</v>
      </c>
      <c r="I10" s="8">
        <v>64</v>
      </c>
      <c r="J10" s="8">
        <v>45</v>
      </c>
      <c r="K10" s="8">
        <v>18</v>
      </c>
      <c r="L10" s="8">
        <v>2</v>
      </c>
      <c r="M10" s="8">
        <v>16</v>
      </c>
      <c r="N10" s="8">
        <v>3.17</v>
      </c>
      <c r="O10" s="8">
        <v>135</v>
      </c>
      <c r="P10" s="8">
        <v>151</v>
      </c>
      <c r="Q10" s="9">
        <v>0.89400000000000002</v>
      </c>
      <c r="R10" s="8">
        <v>0</v>
      </c>
      <c r="S10" s="10">
        <v>6</v>
      </c>
      <c r="T10">
        <v>1</v>
      </c>
      <c r="U10">
        <v>5</v>
      </c>
      <c r="V10" t="s">
        <v>2</v>
      </c>
      <c r="W10">
        <v>35</v>
      </c>
      <c r="X10" t="str">
        <f>_xlfn.XLOOKUP(Data[[#This Row],[Team]],[1]!Table2[TeamName],[1]!Table2[Owner])</f>
        <v>Lucas</v>
      </c>
    </row>
    <row r="11" spans="1:24" x14ac:dyDescent="0.3">
      <c r="A11" t="s">
        <v>34</v>
      </c>
      <c r="B11" s="8">
        <v>3</v>
      </c>
      <c r="C11" s="8">
        <v>20</v>
      </c>
      <c r="D11" s="8">
        <v>-1</v>
      </c>
      <c r="E11" s="8">
        <v>14</v>
      </c>
      <c r="F11" s="8">
        <v>9</v>
      </c>
      <c r="G11" s="8">
        <v>0</v>
      </c>
      <c r="H11" s="8">
        <v>49</v>
      </c>
      <c r="I11" s="8">
        <v>77</v>
      </c>
      <c r="J11" s="8">
        <v>32</v>
      </c>
      <c r="K11" s="8">
        <v>38</v>
      </c>
      <c r="L11" s="8">
        <v>2</v>
      </c>
      <c r="M11" s="8">
        <v>16</v>
      </c>
      <c r="N11" s="8">
        <v>3.84</v>
      </c>
      <c r="O11" s="8">
        <v>78</v>
      </c>
      <c r="P11" s="8">
        <v>94</v>
      </c>
      <c r="Q11" s="9">
        <v>0.83</v>
      </c>
      <c r="R11" s="8">
        <v>0</v>
      </c>
      <c r="S11" s="10">
        <v>5</v>
      </c>
      <c r="T11">
        <v>1</v>
      </c>
      <c r="U11">
        <v>5</v>
      </c>
      <c r="V11" t="s">
        <v>26</v>
      </c>
      <c r="W11">
        <v>32</v>
      </c>
      <c r="X11" t="str">
        <f>_xlfn.XLOOKUP(Data[[#This Row],[Team]],[1]!Table2[TeamName],[1]!Table2[Owner])</f>
        <v>Thomas</v>
      </c>
    </row>
    <row r="12" spans="1:24" x14ac:dyDescent="0.3">
      <c r="A12" t="s">
        <v>35</v>
      </c>
      <c r="B12" s="8">
        <v>9</v>
      </c>
      <c r="C12" s="8">
        <v>7</v>
      </c>
      <c r="D12" s="8">
        <v>1</v>
      </c>
      <c r="E12" s="8">
        <v>28</v>
      </c>
      <c r="F12" s="8">
        <v>7</v>
      </c>
      <c r="G12" s="8">
        <v>1</v>
      </c>
      <c r="H12" s="8">
        <v>87</v>
      </c>
      <c r="I12" s="8">
        <v>121</v>
      </c>
      <c r="J12" s="8">
        <v>68</v>
      </c>
      <c r="K12" s="8">
        <v>35</v>
      </c>
      <c r="L12" s="8">
        <v>1</v>
      </c>
      <c r="M12" s="8">
        <v>13</v>
      </c>
      <c r="N12" s="8">
        <v>4.3600000000000003</v>
      </c>
      <c r="O12" s="8">
        <v>76</v>
      </c>
      <c r="P12" s="8">
        <v>89</v>
      </c>
      <c r="Q12" s="9">
        <v>0.85399999999999998</v>
      </c>
      <c r="R12" s="8">
        <v>0</v>
      </c>
      <c r="S12" s="10">
        <v>9</v>
      </c>
      <c r="T12">
        <v>1</v>
      </c>
      <c r="U12">
        <v>6</v>
      </c>
      <c r="V12" t="s">
        <v>2</v>
      </c>
      <c r="W12">
        <v>40</v>
      </c>
      <c r="X12" t="str">
        <f>_xlfn.XLOOKUP(Data[[#This Row],[Team]],[1]!Table2[TeamName],[1]!Table2[Owner])</f>
        <v>Lonya</v>
      </c>
    </row>
    <row r="13" spans="1:24" x14ac:dyDescent="0.3">
      <c r="A13" t="s">
        <v>36</v>
      </c>
      <c r="B13" s="8">
        <v>6</v>
      </c>
      <c r="C13" s="8">
        <v>12</v>
      </c>
      <c r="D13" s="8">
        <v>-6</v>
      </c>
      <c r="E13" s="8">
        <v>6</v>
      </c>
      <c r="F13" s="8">
        <v>8</v>
      </c>
      <c r="G13" s="8">
        <v>0</v>
      </c>
      <c r="H13" s="8">
        <v>70</v>
      </c>
      <c r="I13" s="8">
        <v>79</v>
      </c>
      <c r="J13" s="8">
        <v>16</v>
      </c>
      <c r="K13" s="8">
        <v>14</v>
      </c>
      <c r="L13" s="8">
        <v>4</v>
      </c>
      <c r="M13" s="8">
        <v>15</v>
      </c>
      <c r="N13" s="8">
        <v>2.97</v>
      </c>
      <c r="O13" s="8">
        <v>118</v>
      </c>
      <c r="P13" s="8">
        <v>133</v>
      </c>
      <c r="Q13" s="9">
        <v>0.88700000000000001</v>
      </c>
      <c r="R13" s="8">
        <v>0</v>
      </c>
      <c r="S13" s="10">
        <v>5</v>
      </c>
      <c r="T13">
        <v>1</v>
      </c>
      <c r="U13">
        <v>6</v>
      </c>
      <c r="V13" t="s">
        <v>26</v>
      </c>
      <c r="W13">
        <v>33</v>
      </c>
      <c r="X13" t="str">
        <f>_xlfn.XLOOKUP(Data[[#This Row],[Team]],[1]!Table2[TeamName],[1]!Table2[Owner])</f>
        <v>Dan</v>
      </c>
    </row>
    <row r="14" spans="1:24" x14ac:dyDescent="0.3">
      <c r="A14" t="s">
        <v>24</v>
      </c>
      <c r="B14" s="8">
        <v>15</v>
      </c>
      <c r="C14" s="8">
        <v>18</v>
      </c>
      <c r="D14" s="8">
        <v>17</v>
      </c>
      <c r="E14" s="8">
        <v>18</v>
      </c>
      <c r="F14" s="8">
        <v>9</v>
      </c>
      <c r="G14" s="8">
        <v>0</v>
      </c>
      <c r="H14" s="8">
        <v>106</v>
      </c>
      <c r="I14" s="8">
        <v>124</v>
      </c>
      <c r="J14" s="8">
        <v>83</v>
      </c>
      <c r="K14" s="8">
        <v>50</v>
      </c>
      <c r="L14" s="8">
        <v>2</v>
      </c>
      <c r="M14" s="8">
        <v>22</v>
      </c>
      <c r="N14" s="8">
        <v>3.15</v>
      </c>
      <c r="O14" s="8">
        <v>163</v>
      </c>
      <c r="P14" s="8">
        <v>185</v>
      </c>
      <c r="Q14" s="9">
        <v>0.88100000000000001</v>
      </c>
      <c r="R14" s="8">
        <v>0</v>
      </c>
      <c r="S14" s="10">
        <v>6</v>
      </c>
      <c r="T14">
        <v>2</v>
      </c>
      <c r="U14">
        <v>1</v>
      </c>
      <c r="V14" t="s">
        <v>2</v>
      </c>
      <c r="W14">
        <v>63</v>
      </c>
      <c r="X14" t="str">
        <f>_xlfn.XLOOKUP(Data[[#This Row],[Team]],[1]!Table2[TeamName],[1]!Table2[Owner])</f>
        <v>Dave</v>
      </c>
    </row>
    <row r="15" spans="1:24" x14ac:dyDescent="0.3">
      <c r="A15" t="s">
        <v>30</v>
      </c>
      <c r="B15" s="8">
        <v>7</v>
      </c>
      <c r="C15" s="8">
        <v>22</v>
      </c>
      <c r="D15" s="8">
        <v>9</v>
      </c>
      <c r="E15" s="8">
        <v>20</v>
      </c>
      <c r="F15" s="8">
        <v>11</v>
      </c>
      <c r="G15" s="8">
        <v>0</v>
      </c>
      <c r="H15" s="8">
        <v>83</v>
      </c>
      <c r="I15" s="8">
        <v>61</v>
      </c>
      <c r="J15" s="8">
        <v>40</v>
      </c>
      <c r="K15" s="8">
        <v>27</v>
      </c>
      <c r="L15" s="8">
        <v>4</v>
      </c>
      <c r="M15" s="8">
        <v>6</v>
      </c>
      <c r="N15" s="8">
        <v>1.68</v>
      </c>
      <c r="O15" s="8">
        <v>97</v>
      </c>
      <c r="P15" s="8">
        <v>103</v>
      </c>
      <c r="Q15" s="9">
        <v>0.94199999999999995</v>
      </c>
      <c r="R15" s="8">
        <v>0</v>
      </c>
      <c r="S15" s="10">
        <v>7</v>
      </c>
      <c r="T15">
        <v>2</v>
      </c>
      <c r="U15">
        <v>1</v>
      </c>
      <c r="V15" t="s">
        <v>26</v>
      </c>
      <c r="W15">
        <v>55</v>
      </c>
      <c r="X15" t="str">
        <f>_xlfn.XLOOKUP(Data[[#This Row],[Team]],[1]!Table2[TeamName],[1]!Table2[Owner])</f>
        <v>Robert</v>
      </c>
    </row>
    <row r="16" spans="1:24" x14ac:dyDescent="0.3">
      <c r="A16" t="s">
        <v>27</v>
      </c>
      <c r="B16" s="8">
        <v>19</v>
      </c>
      <c r="C16" s="8">
        <v>26</v>
      </c>
      <c r="D16" s="8">
        <v>-4</v>
      </c>
      <c r="E16" s="8">
        <v>43</v>
      </c>
      <c r="F16" s="8">
        <v>15</v>
      </c>
      <c r="G16" s="8">
        <v>0</v>
      </c>
      <c r="H16" s="8">
        <v>114</v>
      </c>
      <c r="I16" s="8">
        <v>136</v>
      </c>
      <c r="J16" s="8">
        <v>72</v>
      </c>
      <c r="K16" s="8">
        <v>36</v>
      </c>
      <c r="L16" s="8">
        <v>1</v>
      </c>
      <c r="M16" s="8">
        <v>7</v>
      </c>
      <c r="N16" s="8">
        <v>2.33</v>
      </c>
      <c r="O16" s="8">
        <v>71</v>
      </c>
      <c r="P16" s="8">
        <v>78</v>
      </c>
      <c r="Q16" s="9">
        <v>0.91</v>
      </c>
      <c r="R16" s="8">
        <v>0</v>
      </c>
      <c r="S16" s="10">
        <v>8</v>
      </c>
      <c r="T16">
        <v>2</v>
      </c>
      <c r="U16">
        <v>2</v>
      </c>
      <c r="V16" t="s">
        <v>2</v>
      </c>
      <c r="W16">
        <v>54</v>
      </c>
      <c r="X16" t="str">
        <f>_xlfn.XLOOKUP(Data[[#This Row],[Team]],[1]!Table2[TeamName],[1]!Table2[Owner])</f>
        <v>Kevin</v>
      </c>
    </row>
    <row r="17" spans="1:24" x14ac:dyDescent="0.3">
      <c r="A17" t="s">
        <v>25</v>
      </c>
      <c r="B17" s="8">
        <v>19</v>
      </c>
      <c r="C17" s="8">
        <v>14</v>
      </c>
      <c r="D17" s="8">
        <v>-1</v>
      </c>
      <c r="E17" s="8">
        <v>30</v>
      </c>
      <c r="F17" s="8">
        <v>12</v>
      </c>
      <c r="G17" s="8">
        <v>0</v>
      </c>
      <c r="H17" s="8">
        <v>101</v>
      </c>
      <c r="I17" s="8">
        <v>168</v>
      </c>
      <c r="J17" s="8">
        <v>47</v>
      </c>
      <c r="K17" s="8">
        <v>45</v>
      </c>
      <c r="L17" s="8">
        <v>2</v>
      </c>
      <c r="M17" s="8">
        <v>14</v>
      </c>
      <c r="N17" s="8">
        <v>3.54</v>
      </c>
      <c r="O17" s="8">
        <v>116</v>
      </c>
      <c r="P17" s="8">
        <v>130</v>
      </c>
      <c r="Q17" s="9">
        <v>0.89200000000000002</v>
      </c>
      <c r="R17" s="8">
        <v>0</v>
      </c>
      <c r="S17" s="10">
        <v>4</v>
      </c>
      <c r="T17">
        <v>2</v>
      </c>
      <c r="U17">
        <v>2</v>
      </c>
      <c r="V17" t="s">
        <v>26</v>
      </c>
      <c r="W17">
        <v>60</v>
      </c>
      <c r="X17" t="str">
        <f>_xlfn.XLOOKUP(Data[[#This Row],[Team]],[1]!Table2[TeamName],[1]!Table2[Owner])</f>
        <v>Avery</v>
      </c>
    </row>
    <row r="18" spans="1:24" x14ac:dyDescent="0.3">
      <c r="A18" t="s">
        <v>29</v>
      </c>
      <c r="B18" s="8">
        <v>12</v>
      </c>
      <c r="C18" s="8">
        <v>25</v>
      </c>
      <c r="D18" s="8">
        <v>-9</v>
      </c>
      <c r="E18" s="8">
        <v>22</v>
      </c>
      <c r="F18" s="8">
        <v>12</v>
      </c>
      <c r="G18" s="8">
        <v>2</v>
      </c>
      <c r="H18" s="8">
        <v>105</v>
      </c>
      <c r="I18" s="8">
        <v>105</v>
      </c>
      <c r="J18" s="8">
        <v>47</v>
      </c>
      <c r="K18" s="8">
        <v>42</v>
      </c>
      <c r="L18" s="8">
        <v>2</v>
      </c>
      <c r="M18" s="8">
        <v>6</v>
      </c>
      <c r="N18" s="8">
        <v>1.95</v>
      </c>
      <c r="O18" s="8">
        <v>53</v>
      </c>
      <c r="P18" s="8">
        <v>59</v>
      </c>
      <c r="Q18" s="9">
        <v>0.89800000000000002</v>
      </c>
      <c r="R18" s="8">
        <v>0</v>
      </c>
      <c r="S18" s="10">
        <v>7</v>
      </c>
      <c r="T18">
        <v>2</v>
      </c>
      <c r="U18">
        <v>3</v>
      </c>
      <c r="V18" t="s">
        <v>2</v>
      </c>
      <c r="W18">
        <v>58</v>
      </c>
      <c r="X18" t="str">
        <f>_xlfn.XLOOKUP(Data[[#This Row],[Team]],[1]!Table2[TeamName],[1]!Table2[Owner])</f>
        <v>Spencer</v>
      </c>
    </row>
    <row r="19" spans="1:24" x14ac:dyDescent="0.3">
      <c r="A19" t="s">
        <v>34</v>
      </c>
      <c r="B19" s="8">
        <v>10</v>
      </c>
      <c r="C19" s="8">
        <v>24</v>
      </c>
      <c r="D19" s="8">
        <v>-3</v>
      </c>
      <c r="E19" s="8">
        <v>44</v>
      </c>
      <c r="F19" s="8">
        <v>11</v>
      </c>
      <c r="G19" s="8">
        <v>0</v>
      </c>
      <c r="H19" s="8">
        <v>111</v>
      </c>
      <c r="I19" s="8">
        <v>120</v>
      </c>
      <c r="J19" s="8">
        <v>76</v>
      </c>
      <c r="K19" s="8">
        <v>48</v>
      </c>
      <c r="L19" s="8">
        <v>3</v>
      </c>
      <c r="M19" s="8">
        <v>11</v>
      </c>
      <c r="N19" s="8">
        <v>2.48</v>
      </c>
      <c r="O19" s="8">
        <v>96</v>
      </c>
      <c r="P19" s="8">
        <v>107</v>
      </c>
      <c r="Q19" s="9">
        <v>0.89700000000000002</v>
      </c>
      <c r="R19" s="8">
        <v>0</v>
      </c>
      <c r="S19" s="10">
        <v>7</v>
      </c>
      <c r="T19">
        <v>2</v>
      </c>
      <c r="U19">
        <v>3</v>
      </c>
      <c r="V19" t="s">
        <v>26</v>
      </c>
      <c r="W19">
        <v>59</v>
      </c>
      <c r="X19" t="str">
        <f>_xlfn.XLOOKUP(Data[[#This Row],[Team]],[1]!Table2[TeamName],[1]!Table2[Owner])</f>
        <v>Thomas</v>
      </c>
    </row>
    <row r="20" spans="1:24" x14ac:dyDescent="0.3">
      <c r="A20" t="s">
        <v>31</v>
      </c>
      <c r="B20" s="8">
        <v>14</v>
      </c>
      <c r="C20" s="8">
        <v>21</v>
      </c>
      <c r="D20" s="8">
        <v>6</v>
      </c>
      <c r="E20" s="8">
        <v>28</v>
      </c>
      <c r="F20" s="8">
        <v>11</v>
      </c>
      <c r="G20" s="8">
        <v>1</v>
      </c>
      <c r="H20" s="8">
        <v>97</v>
      </c>
      <c r="I20" s="8">
        <v>146</v>
      </c>
      <c r="J20" s="8">
        <v>63</v>
      </c>
      <c r="K20" s="8">
        <v>42</v>
      </c>
      <c r="L20" s="8">
        <v>3</v>
      </c>
      <c r="M20" s="8">
        <v>7</v>
      </c>
      <c r="N20" s="8">
        <v>1.75</v>
      </c>
      <c r="O20" s="8">
        <v>104</v>
      </c>
      <c r="P20" s="8">
        <v>111</v>
      </c>
      <c r="Q20" s="9">
        <v>0.93700000000000006</v>
      </c>
      <c r="R20" s="8">
        <v>0</v>
      </c>
      <c r="S20" s="10">
        <v>6</v>
      </c>
      <c r="T20">
        <v>2</v>
      </c>
      <c r="U20">
        <v>4</v>
      </c>
      <c r="V20" t="s">
        <v>2</v>
      </c>
      <c r="W20">
        <v>56</v>
      </c>
      <c r="X20" t="str">
        <f>_xlfn.XLOOKUP(Data[[#This Row],[Team]],[1]!Table2[TeamName],[1]!Table2[Owner])</f>
        <v>Chris</v>
      </c>
    </row>
    <row r="21" spans="1:24" x14ac:dyDescent="0.3">
      <c r="A21" t="s">
        <v>36</v>
      </c>
      <c r="B21" s="8">
        <v>11</v>
      </c>
      <c r="C21" s="8">
        <v>24</v>
      </c>
      <c r="D21" s="8">
        <v>2</v>
      </c>
      <c r="E21" s="8">
        <v>14</v>
      </c>
      <c r="F21" s="8">
        <v>12</v>
      </c>
      <c r="G21" s="8">
        <v>1</v>
      </c>
      <c r="H21" s="8">
        <v>112</v>
      </c>
      <c r="I21" s="8">
        <v>101</v>
      </c>
      <c r="J21" s="8">
        <v>23</v>
      </c>
      <c r="K21" s="8">
        <v>22</v>
      </c>
      <c r="L21" s="8">
        <v>3</v>
      </c>
      <c r="M21" s="8">
        <v>4</v>
      </c>
      <c r="N21" s="8">
        <v>1.33</v>
      </c>
      <c r="O21" s="8">
        <v>68</v>
      </c>
      <c r="P21" s="8">
        <v>72</v>
      </c>
      <c r="Q21" s="9">
        <v>0.94399999999999995</v>
      </c>
      <c r="R21" s="8">
        <v>0</v>
      </c>
      <c r="S21" s="10">
        <v>6</v>
      </c>
      <c r="T21">
        <v>2</v>
      </c>
      <c r="U21">
        <v>4</v>
      </c>
      <c r="V21" t="s">
        <v>26</v>
      </c>
      <c r="W21">
        <v>49</v>
      </c>
      <c r="X21" t="str">
        <f>_xlfn.XLOOKUP(Data[[#This Row],[Team]],[1]!Table2[TeamName],[1]!Table2[Owner])</f>
        <v>Dan</v>
      </c>
    </row>
    <row r="22" spans="1:24" x14ac:dyDescent="0.3">
      <c r="A22" t="s">
        <v>33</v>
      </c>
      <c r="B22" s="8">
        <v>10</v>
      </c>
      <c r="C22" s="8">
        <v>17</v>
      </c>
      <c r="D22" s="8">
        <v>-7</v>
      </c>
      <c r="E22" s="8">
        <v>32</v>
      </c>
      <c r="F22" s="8">
        <v>6</v>
      </c>
      <c r="G22" s="8">
        <v>2</v>
      </c>
      <c r="H22" s="8">
        <v>112</v>
      </c>
      <c r="I22" s="8">
        <v>81</v>
      </c>
      <c r="J22" s="8">
        <v>60</v>
      </c>
      <c r="K22" s="8">
        <v>37</v>
      </c>
      <c r="L22" s="8">
        <v>2</v>
      </c>
      <c r="M22" s="8">
        <v>18</v>
      </c>
      <c r="N22" s="8">
        <v>3.16</v>
      </c>
      <c r="O22" s="8">
        <v>148</v>
      </c>
      <c r="P22" s="8">
        <v>166</v>
      </c>
      <c r="Q22" s="9">
        <v>0.89200000000000002</v>
      </c>
      <c r="R22" s="8">
        <v>0</v>
      </c>
      <c r="S22" s="10">
        <v>3</v>
      </c>
      <c r="T22">
        <v>2</v>
      </c>
      <c r="U22">
        <v>5</v>
      </c>
      <c r="V22" t="s">
        <v>2</v>
      </c>
      <c r="W22">
        <v>55</v>
      </c>
      <c r="X22" t="str">
        <f>_xlfn.XLOOKUP(Data[[#This Row],[Team]],[1]!Table2[TeamName],[1]!Table2[Owner])</f>
        <v>Lucas</v>
      </c>
    </row>
    <row r="23" spans="1:24" x14ac:dyDescent="0.3">
      <c r="A23" t="s">
        <v>32</v>
      </c>
      <c r="B23" s="8">
        <v>15</v>
      </c>
      <c r="C23" s="8">
        <v>17</v>
      </c>
      <c r="D23" s="8">
        <v>0</v>
      </c>
      <c r="E23" s="8">
        <v>26</v>
      </c>
      <c r="F23" s="8">
        <v>15</v>
      </c>
      <c r="G23" s="8">
        <v>2</v>
      </c>
      <c r="H23" s="8">
        <v>118</v>
      </c>
      <c r="I23" s="8">
        <v>98</v>
      </c>
      <c r="J23" s="8">
        <v>48</v>
      </c>
      <c r="K23" s="8">
        <v>44</v>
      </c>
      <c r="L23" s="8">
        <v>2</v>
      </c>
      <c r="M23" s="8">
        <v>9</v>
      </c>
      <c r="N23" s="8">
        <v>2.95</v>
      </c>
      <c r="O23" s="8">
        <v>54</v>
      </c>
      <c r="P23" s="8">
        <v>63</v>
      </c>
      <c r="Q23" s="9">
        <v>0.85699999999999998</v>
      </c>
      <c r="R23" s="8">
        <v>0</v>
      </c>
      <c r="S23" s="10">
        <v>8</v>
      </c>
      <c r="T23">
        <v>2</v>
      </c>
      <c r="U23">
        <v>5</v>
      </c>
      <c r="V23" t="s">
        <v>26</v>
      </c>
      <c r="W23">
        <v>55</v>
      </c>
      <c r="X23" t="str">
        <f>_xlfn.XLOOKUP(Data[[#This Row],[Team]],[1]!Table2[TeamName],[1]!Table2[Owner])</f>
        <v>Scott</v>
      </c>
    </row>
    <row r="24" spans="1:24" x14ac:dyDescent="0.3">
      <c r="A24" t="s">
        <v>35</v>
      </c>
      <c r="B24" s="8">
        <v>20</v>
      </c>
      <c r="C24" s="8">
        <v>26</v>
      </c>
      <c r="D24" s="8">
        <v>-10</v>
      </c>
      <c r="E24" s="8">
        <v>32</v>
      </c>
      <c r="F24" s="8">
        <v>13</v>
      </c>
      <c r="G24" s="8">
        <v>0</v>
      </c>
      <c r="H24" s="8">
        <v>141</v>
      </c>
      <c r="I24" s="8">
        <v>161</v>
      </c>
      <c r="J24" s="8">
        <v>51</v>
      </c>
      <c r="K24" s="8">
        <v>80</v>
      </c>
      <c r="L24" s="8">
        <v>1</v>
      </c>
      <c r="M24" s="8">
        <v>10</v>
      </c>
      <c r="N24" s="8">
        <v>3.32</v>
      </c>
      <c r="O24" s="8">
        <v>70</v>
      </c>
      <c r="P24" s="8">
        <v>80</v>
      </c>
      <c r="Q24" s="9">
        <v>0.875</v>
      </c>
      <c r="R24" s="8">
        <v>0</v>
      </c>
      <c r="S24" s="10">
        <v>8</v>
      </c>
      <c r="T24">
        <v>2</v>
      </c>
      <c r="U24">
        <v>6</v>
      </c>
      <c r="V24" t="s">
        <v>2</v>
      </c>
      <c r="W24">
        <v>63</v>
      </c>
      <c r="X24" t="str">
        <f>_xlfn.XLOOKUP(Data[[#This Row],[Team]],[1]!Table2[TeamName],[1]!Table2[Owner])</f>
        <v>Lonya</v>
      </c>
    </row>
    <row r="25" spans="1:24" x14ac:dyDescent="0.3">
      <c r="A25" t="s">
        <v>28</v>
      </c>
      <c r="B25" s="8">
        <v>12</v>
      </c>
      <c r="C25" s="8">
        <v>17</v>
      </c>
      <c r="D25" s="8">
        <v>-15</v>
      </c>
      <c r="E25" s="8">
        <v>24</v>
      </c>
      <c r="F25" s="8">
        <v>7</v>
      </c>
      <c r="G25" s="8">
        <v>0</v>
      </c>
      <c r="H25" s="8">
        <v>129</v>
      </c>
      <c r="I25" s="8">
        <v>123</v>
      </c>
      <c r="J25" s="8">
        <v>89</v>
      </c>
      <c r="K25" s="8">
        <v>52</v>
      </c>
      <c r="L25" s="8">
        <v>2</v>
      </c>
      <c r="M25" s="8">
        <v>10</v>
      </c>
      <c r="N25" s="8">
        <v>2.02</v>
      </c>
      <c r="O25" s="8">
        <v>111</v>
      </c>
      <c r="P25" s="8">
        <v>121</v>
      </c>
      <c r="Q25" s="9">
        <v>0.91700000000000004</v>
      </c>
      <c r="R25" s="8">
        <v>1</v>
      </c>
      <c r="S25" s="10">
        <v>5</v>
      </c>
      <c r="T25">
        <v>2</v>
      </c>
      <c r="U25">
        <v>6</v>
      </c>
      <c r="V25" t="s">
        <v>26</v>
      </c>
      <c r="W25">
        <v>60</v>
      </c>
      <c r="X25" t="str">
        <f>_xlfn.XLOOKUP(Data[[#This Row],[Team]],[1]!Table2[TeamName],[1]!Table2[Owner])</f>
        <v>Matt</v>
      </c>
    </row>
    <row r="26" spans="1:24" x14ac:dyDescent="0.3">
      <c r="A26" t="s">
        <v>24</v>
      </c>
      <c r="B26" s="8">
        <v>11</v>
      </c>
      <c r="C26" s="8">
        <v>27</v>
      </c>
      <c r="D26" s="8">
        <v>1</v>
      </c>
      <c r="E26" s="8">
        <v>31</v>
      </c>
      <c r="F26" s="8">
        <v>10</v>
      </c>
      <c r="G26" s="8">
        <v>0</v>
      </c>
      <c r="H26" s="8">
        <v>133</v>
      </c>
      <c r="I26" s="8">
        <v>151</v>
      </c>
      <c r="J26" s="8">
        <v>81</v>
      </c>
      <c r="K26" s="8">
        <v>62</v>
      </c>
      <c r="L26" s="8">
        <v>3</v>
      </c>
      <c r="M26" s="8">
        <v>10</v>
      </c>
      <c r="N26" s="8">
        <v>2.5499999999999998</v>
      </c>
      <c r="O26" s="8">
        <v>83</v>
      </c>
      <c r="P26" s="8">
        <v>93</v>
      </c>
      <c r="Q26" s="9">
        <v>0.89200000000000002</v>
      </c>
      <c r="R26" s="8">
        <v>1</v>
      </c>
      <c r="S26" s="10">
        <v>7</v>
      </c>
      <c r="T26">
        <v>3</v>
      </c>
      <c r="U26">
        <v>1</v>
      </c>
      <c r="V26" t="s">
        <v>2</v>
      </c>
      <c r="W26">
        <v>61</v>
      </c>
      <c r="X26" t="str">
        <f>_xlfn.XLOOKUP(Data[[#This Row],[Team]],[1]!Table2[TeamName],[1]!Table2[Owner])</f>
        <v>Dave</v>
      </c>
    </row>
    <row r="27" spans="1:24" x14ac:dyDescent="0.3">
      <c r="A27" t="s">
        <v>34</v>
      </c>
      <c r="B27" s="8">
        <v>14</v>
      </c>
      <c r="C27" s="8">
        <v>27</v>
      </c>
      <c r="D27" s="8">
        <v>-6</v>
      </c>
      <c r="E27" s="8">
        <v>23</v>
      </c>
      <c r="F27" s="8">
        <v>14</v>
      </c>
      <c r="G27" s="8">
        <v>0</v>
      </c>
      <c r="H27" s="8">
        <v>99</v>
      </c>
      <c r="I27" s="8">
        <v>177</v>
      </c>
      <c r="J27" s="8">
        <v>57</v>
      </c>
      <c r="K27" s="8">
        <v>33</v>
      </c>
      <c r="L27" s="8">
        <v>2</v>
      </c>
      <c r="M27" s="8">
        <v>3</v>
      </c>
      <c r="N27" s="8">
        <v>1.39</v>
      </c>
      <c r="O27" s="8">
        <v>43</v>
      </c>
      <c r="P27" s="8">
        <v>46</v>
      </c>
      <c r="Q27" s="9">
        <v>0.93500000000000005</v>
      </c>
      <c r="R27" s="8">
        <v>0</v>
      </c>
      <c r="S27" s="10">
        <v>6</v>
      </c>
      <c r="T27">
        <v>3</v>
      </c>
      <c r="U27">
        <v>1</v>
      </c>
      <c r="V27" t="s">
        <v>26</v>
      </c>
      <c r="W27">
        <v>58</v>
      </c>
      <c r="X27" t="str">
        <f>_xlfn.XLOOKUP(Data[[#This Row],[Team]],[1]!Table2[TeamName],[1]!Table2[Owner])</f>
        <v>Thomas</v>
      </c>
    </row>
    <row r="28" spans="1:24" x14ac:dyDescent="0.3">
      <c r="A28" t="s">
        <v>27</v>
      </c>
      <c r="B28" s="8">
        <v>6</v>
      </c>
      <c r="C28" s="8">
        <v>25</v>
      </c>
      <c r="D28" s="8">
        <v>8</v>
      </c>
      <c r="E28" s="8">
        <v>23</v>
      </c>
      <c r="F28" s="8">
        <v>7</v>
      </c>
      <c r="G28" s="8">
        <v>0</v>
      </c>
      <c r="H28" s="8">
        <v>86</v>
      </c>
      <c r="I28" s="8">
        <v>108</v>
      </c>
      <c r="J28" s="8">
        <v>45</v>
      </c>
      <c r="K28" s="8">
        <v>43</v>
      </c>
      <c r="L28" s="8">
        <v>2</v>
      </c>
      <c r="M28" s="8">
        <v>25</v>
      </c>
      <c r="N28" s="8">
        <v>3.54</v>
      </c>
      <c r="O28" s="8">
        <v>178</v>
      </c>
      <c r="P28" s="8">
        <v>203</v>
      </c>
      <c r="Q28" s="9">
        <v>0.877</v>
      </c>
      <c r="R28" s="8">
        <v>0</v>
      </c>
      <c r="S28" s="10">
        <v>8</v>
      </c>
      <c r="T28">
        <v>3</v>
      </c>
      <c r="U28">
        <v>2</v>
      </c>
      <c r="V28" t="s">
        <v>2</v>
      </c>
      <c r="W28">
        <v>56</v>
      </c>
      <c r="X28" t="str">
        <f>_xlfn.XLOOKUP(Data[[#This Row],[Team]],[1]!Table2[TeamName],[1]!Table2[Owner])</f>
        <v>Kevin</v>
      </c>
    </row>
    <row r="29" spans="1:24" x14ac:dyDescent="0.3">
      <c r="A29" t="s">
        <v>30</v>
      </c>
      <c r="B29" s="8">
        <v>8</v>
      </c>
      <c r="C29" s="8">
        <v>21</v>
      </c>
      <c r="D29" s="8">
        <v>4</v>
      </c>
      <c r="E29" s="8">
        <v>14</v>
      </c>
      <c r="F29" s="8">
        <v>11</v>
      </c>
      <c r="G29" s="8">
        <v>0</v>
      </c>
      <c r="H29" s="8">
        <v>59</v>
      </c>
      <c r="I29" s="8">
        <v>47</v>
      </c>
      <c r="J29" s="8">
        <v>42</v>
      </c>
      <c r="K29" s="8">
        <v>22</v>
      </c>
      <c r="L29" s="8">
        <v>1</v>
      </c>
      <c r="M29" s="8">
        <v>12</v>
      </c>
      <c r="N29" s="8">
        <v>3.09</v>
      </c>
      <c r="O29" s="8">
        <v>92</v>
      </c>
      <c r="P29" s="8">
        <v>104</v>
      </c>
      <c r="Q29" s="9">
        <v>0.88500000000000001</v>
      </c>
      <c r="R29" s="8">
        <v>0</v>
      </c>
      <c r="S29" s="10">
        <v>5</v>
      </c>
      <c r="T29">
        <v>3</v>
      </c>
      <c r="U29">
        <v>2</v>
      </c>
      <c r="V29" t="s">
        <v>26</v>
      </c>
      <c r="W29">
        <v>45</v>
      </c>
      <c r="X29" t="str">
        <f>_xlfn.XLOOKUP(Data[[#This Row],[Team]],[1]!Table2[TeamName],[1]!Table2[Owner])</f>
        <v>Robert</v>
      </c>
    </row>
    <row r="30" spans="1:24" x14ac:dyDescent="0.3">
      <c r="A30" t="s">
        <v>29</v>
      </c>
      <c r="B30" s="8">
        <v>16</v>
      </c>
      <c r="C30" s="8">
        <v>28</v>
      </c>
      <c r="D30" s="8">
        <v>11</v>
      </c>
      <c r="E30" s="8">
        <v>16</v>
      </c>
      <c r="F30" s="8">
        <v>17</v>
      </c>
      <c r="G30" s="8">
        <v>0</v>
      </c>
      <c r="H30" s="8">
        <v>118</v>
      </c>
      <c r="I30" s="8">
        <v>121</v>
      </c>
      <c r="J30" s="8">
        <v>41</v>
      </c>
      <c r="K30" s="8">
        <v>51</v>
      </c>
      <c r="L30" s="8">
        <v>3</v>
      </c>
      <c r="M30" s="8">
        <v>4</v>
      </c>
      <c r="N30" s="8">
        <v>1.33</v>
      </c>
      <c r="O30" s="8">
        <v>81</v>
      </c>
      <c r="P30" s="8">
        <v>85</v>
      </c>
      <c r="Q30" s="9">
        <v>0.95299999999999996</v>
      </c>
      <c r="R30" s="8">
        <v>0</v>
      </c>
      <c r="S30" s="10">
        <v>8</v>
      </c>
      <c r="T30">
        <v>3</v>
      </c>
      <c r="U30">
        <v>3</v>
      </c>
      <c r="V30" t="s">
        <v>2</v>
      </c>
      <c r="W30">
        <v>56</v>
      </c>
      <c r="X30" t="str">
        <f>_xlfn.XLOOKUP(Data[[#This Row],[Team]],[1]!Table2[TeamName],[1]!Table2[Owner])</f>
        <v>Spencer</v>
      </c>
    </row>
    <row r="31" spans="1:24" x14ac:dyDescent="0.3">
      <c r="A31" t="s">
        <v>32</v>
      </c>
      <c r="B31" s="8">
        <v>10</v>
      </c>
      <c r="C31" s="8">
        <v>19</v>
      </c>
      <c r="D31" s="8">
        <v>-16</v>
      </c>
      <c r="E31" s="8">
        <v>24</v>
      </c>
      <c r="F31" s="8">
        <v>12</v>
      </c>
      <c r="G31" s="8">
        <v>0</v>
      </c>
      <c r="H31" s="8">
        <v>123</v>
      </c>
      <c r="I31" s="8">
        <v>135</v>
      </c>
      <c r="J31" s="8">
        <v>44</v>
      </c>
      <c r="K31" s="8">
        <v>47</v>
      </c>
      <c r="L31" s="8">
        <v>5</v>
      </c>
      <c r="M31" s="8">
        <v>16</v>
      </c>
      <c r="N31" s="8">
        <v>2.82</v>
      </c>
      <c r="O31" s="8">
        <v>158</v>
      </c>
      <c r="P31" s="8">
        <v>174</v>
      </c>
      <c r="Q31" s="9">
        <v>0.90800000000000003</v>
      </c>
      <c r="R31" s="8">
        <v>1</v>
      </c>
      <c r="S31" s="10">
        <v>6</v>
      </c>
      <c r="T31">
        <v>3</v>
      </c>
      <c r="U31">
        <v>3</v>
      </c>
      <c r="V31" t="s">
        <v>26</v>
      </c>
      <c r="W31">
        <v>64</v>
      </c>
      <c r="X31" t="str">
        <f>_xlfn.XLOOKUP(Data[[#This Row],[Team]],[1]!Table2[TeamName],[1]!Table2[Owner])</f>
        <v>Scott</v>
      </c>
    </row>
    <row r="32" spans="1:24" x14ac:dyDescent="0.3">
      <c r="A32" t="s">
        <v>31</v>
      </c>
      <c r="B32" s="8">
        <v>12</v>
      </c>
      <c r="C32" s="8">
        <v>28</v>
      </c>
      <c r="D32" s="8">
        <v>12</v>
      </c>
      <c r="E32" s="8">
        <v>28</v>
      </c>
      <c r="F32" s="8">
        <v>16</v>
      </c>
      <c r="G32" s="8">
        <v>0</v>
      </c>
      <c r="H32" s="8">
        <v>119</v>
      </c>
      <c r="I32" s="8">
        <v>135</v>
      </c>
      <c r="J32" s="8">
        <v>57</v>
      </c>
      <c r="K32" s="8">
        <v>46</v>
      </c>
      <c r="L32" s="8">
        <v>2</v>
      </c>
      <c r="M32" s="8">
        <v>17</v>
      </c>
      <c r="N32" s="8">
        <v>2.84</v>
      </c>
      <c r="O32" s="8">
        <v>141</v>
      </c>
      <c r="P32" s="8">
        <v>158</v>
      </c>
      <c r="Q32" s="9">
        <v>0.89200000000000002</v>
      </c>
      <c r="R32" s="8">
        <v>0</v>
      </c>
      <c r="S32" s="10">
        <v>3</v>
      </c>
      <c r="T32">
        <v>3</v>
      </c>
      <c r="U32">
        <v>4</v>
      </c>
      <c r="V32" t="s">
        <v>2</v>
      </c>
      <c r="W32">
        <v>55</v>
      </c>
      <c r="X32" t="str">
        <f>_xlfn.XLOOKUP(Data[[#This Row],[Team]],[1]!Table2[TeamName],[1]!Table2[Owner])</f>
        <v>Chris</v>
      </c>
    </row>
    <row r="33" spans="1:24" x14ac:dyDescent="0.3">
      <c r="A33" t="s">
        <v>35</v>
      </c>
      <c r="B33" s="8">
        <v>17</v>
      </c>
      <c r="C33" s="8">
        <v>25</v>
      </c>
      <c r="D33" s="8">
        <v>-9</v>
      </c>
      <c r="E33" s="8">
        <v>59</v>
      </c>
      <c r="F33" s="8">
        <v>17</v>
      </c>
      <c r="G33" s="8">
        <v>2</v>
      </c>
      <c r="H33" s="8">
        <v>114</v>
      </c>
      <c r="I33" s="8">
        <v>180</v>
      </c>
      <c r="J33" s="8">
        <v>63</v>
      </c>
      <c r="K33" s="8">
        <v>76</v>
      </c>
      <c r="L33" s="8">
        <v>2</v>
      </c>
      <c r="M33" s="8">
        <v>5</v>
      </c>
      <c r="N33" s="8">
        <v>1.65</v>
      </c>
      <c r="O33" s="8">
        <v>56</v>
      </c>
      <c r="P33" s="8">
        <v>61</v>
      </c>
      <c r="Q33" s="9">
        <v>0.91800000000000004</v>
      </c>
      <c r="R33" s="8">
        <v>0</v>
      </c>
      <c r="S33" s="10">
        <v>10</v>
      </c>
      <c r="T33">
        <v>3</v>
      </c>
      <c r="U33">
        <v>4</v>
      </c>
      <c r="V33" t="s">
        <v>26</v>
      </c>
      <c r="W33">
        <v>62</v>
      </c>
      <c r="X33" t="str">
        <f>_xlfn.XLOOKUP(Data[[#This Row],[Team]],[1]!Table2[TeamName],[1]!Table2[Owner])</f>
        <v>Lonya</v>
      </c>
    </row>
    <row r="34" spans="1:24" x14ac:dyDescent="0.3">
      <c r="A34" t="s">
        <v>25</v>
      </c>
      <c r="B34" s="8">
        <v>17</v>
      </c>
      <c r="C34" s="8">
        <v>21</v>
      </c>
      <c r="D34" s="8">
        <v>10</v>
      </c>
      <c r="E34" s="8">
        <v>18</v>
      </c>
      <c r="F34" s="8">
        <v>16</v>
      </c>
      <c r="G34" s="8">
        <v>0</v>
      </c>
      <c r="H34" s="8">
        <v>122</v>
      </c>
      <c r="I34" s="8">
        <v>108</v>
      </c>
      <c r="J34" s="8">
        <v>49</v>
      </c>
      <c r="K34" s="8">
        <v>47</v>
      </c>
      <c r="L34" s="8">
        <v>1</v>
      </c>
      <c r="M34" s="8">
        <v>6</v>
      </c>
      <c r="N34" s="8">
        <v>2.0299999999999998</v>
      </c>
      <c r="O34" s="8">
        <v>87</v>
      </c>
      <c r="P34" s="8">
        <v>93</v>
      </c>
      <c r="Q34" s="9">
        <v>0.93500000000000005</v>
      </c>
      <c r="R34" s="8">
        <v>0</v>
      </c>
      <c r="S34" s="10">
        <v>10</v>
      </c>
      <c r="T34">
        <v>3</v>
      </c>
      <c r="U34">
        <v>5</v>
      </c>
      <c r="V34" t="s">
        <v>2</v>
      </c>
      <c r="W34">
        <v>57</v>
      </c>
      <c r="X34" t="str">
        <f>_xlfn.XLOOKUP(Data[[#This Row],[Team]],[1]!Table2[TeamName],[1]!Table2[Owner])</f>
        <v>Avery</v>
      </c>
    </row>
    <row r="35" spans="1:24" x14ac:dyDescent="0.3">
      <c r="A35" t="s">
        <v>28</v>
      </c>
      <c r="B35" s="8">
        <v>15</v>
      </c>
      <c r="C35" s="8">
        <v>20</v>
      </c>
      <c r="D35" s="8">
        <v>5</v>
      </c>
      <c r="E35" s="8">
        <v>29</v>
      </c>
      <c r="F35" s="8">
        <v>10</v>
      </c>
      <c r="G35" s="8">
        <v>1</v>
      </c>
      <c r="H35" s="8">
        <v>113</v>
      </c>
      <c r="I35" s="8">
        <v>59</v>
      </c>
      <c r="J35" s="8">
        <v>65</v>
      </c>
      <c r="K35" s="8">
        <v>45</v>
      </c>
      <c r="L35" s="8">
        <v>1</v>
      </c>
      <c r="M35" s="8">
        <v>14</v>
      </c>
      <c r="N35" s="8">
        <v>3.56</v>
      </c>
      <c r="O35" s="8">
        <v>94</v>
      </c>
      <c r="P35" s="8">
        <v>108</v>
      </c>
      <c r="Q35" s="9">
        <v>0.87</v>
      </c>
      <c r="R35" s="8">
        <v>0</v>
      </c>
      <c r="S35" s="10">
        <v>3</v>
      </c>
      <c r="T35">
        <v>3</v>
      </c>
      <c r="U35">
        <v>5</v>
      </c>
      <c r="V35" t="s">
        <v>26</v>
      </c>
      <c r="W35">
        <v>60</v>
      </c>
      <c r="X35" t="str">
        <f>_xlfn.XLOOKUP(Data[[#This Row],[Team]],[1]!Table2[TeamName],[1]!Table2[Owner])</f>
        <v>Matt</v>
      </c>
    </row>
    <row r="36" spans="1:24" x14ac:dyDescent="0.3">
      <c r="A36" t="s">
        <v>33</v>
      </c>
      <c r="B36" s="8">
        <v>17</v>
      </c>
      <c r="C36" s="8">
        <v>19</v>
      </c>
      <c r="D36" s="8">
        <v>8</v>
      </c>
      <c r="E36" s="8">
        <v>12</v>
      </c>
      <c r="F36" s="8">
        <v>10</v>
      </c>
      <c r="G36" s="8">
        <v>1</v>
      </c>
      <c r="H36" s="8">
        <v>108</v>
      </c>
      <c r="I36" s="8">
        <v>93</v>
      </c>
      <c r="J36" s="8">
        <v>60</v>
      </c>
      <c r="K36" s="8">
        <v>45</v>
      </c>
      <c r="L36" s="8">
        <v>3</v>
      </c>
      <c r="M36" s="8">
        <v>19</v>
      </c>
      <c r="N36" s="8">
        <v>2.65</v>
      </c>
      <c r="O36" s="8">
        <v>195</v>
      </c>
      <c r="P36" s="8">
        <v>214</v>
      </c>
      <c r="Q36" s="9">
        <v>0.91100000000000003</v>
      </c>
      <c r="R36" s="8">
        <v>0</v>
      </c>
      <c r="S36" s="10">
        <v>9</v>
      </c>
      <c r="T36">
        <v>3</v>
      </c>
      <c r="U36">
        <v>6</v>
      </c>
      <c r="V36" t="s">
        <v>2</v>
      </c>
      <c r="W36">
        <v>52</v>
      </c>
      <c r="X36" t="str">
        <f>_xlfn.XLOOKUP(Data[[#This Row],[Team]],[1]!Table2[TeamName],[1]!Table2[Owner])</f>
        <v>Lucas</v>
      </c>
    </row>
    <row r="37" spans="1:24" x14ac:dyDescent="0.3">
      <c r="A37" t="s">
        <v>36</v>
      </c>
      <c r="B37" s="8">
        <v>14</v>
      </c>
      <c r="C37" s="8">
        <v>15</v>
      </c>
      <c r="D37" s="8">
        <v>8</v>
      </c>
      <c r="E37" s="8">
        <v>9</v>
      </c>
      <c r="F37" s="8">
        <v>10</v>
      </c>
      <c r="G37" s="8">
        <v>0</v>
      </c>
      <c r="H37" s="8">
        <v>90</v>
      </c>
      <c r="I37" s="8">
        <v>92</v>
      </c>
      <c r="J37" s="8">
        <v>23</v>
      </c>
      <c r="K37" s="8">
        <v>20</v>
      </c>
      <c r="L37" s="8">
        <v>2</v>
      </c>
      <c r="M37" s="8">
        <v>16</v>
      </c>
      <c r="N37" s="8">
        <v>2.64</v>
      </c>
      <c r="O37" s="8">
        <v>175</v>
      </c>
      <c r="P37" s="8">
        <v>191</v>
      </c>
      <c r="Q37" s="9">
        <v>0.91600000000000004</v>
      </c>
      <c r="R37" s="8">
        <v>0</v>
      </c>
      <c r="S37" s="10">
        <v>3</v>
      </c>
      <c r="T37">
        <v>3</v>
      </c>
      <c r="U37">
        <v>6</v>
      </c>
      <c r="V37" t="s">
        <v>26</v>
      </c>
      <c r="W37">
        <v>48</v>
      </c>
      <c r="X37" t="str">
        <f>_xlfn.XLOOKUP(Data[[#This Row],[Team]],[1]!Table2[TeamName],[1]!Table2[Owner])</f>
        <v>Dan</v>
      </c>
    </row>
    <row r="38" spans="1:24" x14ac:dyDescent="0.3">
      <c r="A38" t="s">
        <v>24</v>
      </c>
      <c r="B38" s="8">
        <v>21</v>
      </c>
      <c r="C38" s="8">
        <v>18</v>
      </c>
      <c r="D38" s="8">
        <v>1</v>
      </c>
      <c r="E38" s="8">
        <v>18</v>
      </c>
      <c r="F38" s="8">
        <v>15</v>
      </c>
      <c r="G38" s="8">
        <v>0</v>
      </c>
      <c r="H38" s="8">
        <v>118</v>
      </c>
      <c r="I38" s="8">
        <v>102</v>
      </c>
      <c r="J38" s="8">
        <v>49</v>
      </c>
      <c r="K38" s="8">
        <v>42</v>
      </c>
      <c r="L38" s="8">
        <v>4</v>
      </c>
      <c r="M38" s="8">
        <v>9</v>
      </c>
      <c r="N38" s="8">
        <v>2.19</v>
      </c>
      <c r="O38" s="8">
        <v>93</v>
      </c>
      <c r="P38" s="8">
        <v>102</v>
      </c>
      <c r="Q38" s="9">
        <v>0.91200000000000003</v>
      </c>
      <c r="R38" s="8">
        <v>0</v>
      </c>
      <c r="S38" s="10">
        <v>12</v>
      </c>
      <c r="T38">
        <v>4</v>
      </c>
      <c r="U38">
        <v>1</v>
      </c>
      <c r="V38" t="s">
        <v>2</v>
      </c>
      <c r="W38">
        <v>53</v>
      </c>
      <c r="X38" t="str">
        <f>_xlfn.XLOOKUP(Data[[#This Row],[Team]],[1]!Table2[TeamName],[1]!Table2[Owner])</f>
        <v>Dave</v>
      </c>
    </row>
    <row r="39" spans="1:24" x14ac:dyDescent="0.3">
      <c r="A39" t="s">
        <v>32</v>
      </c>
      <c r="B39" s="8">
        <v>8</v>
      </c>
      <c r="C39" s="8">
        <v>19</v>
      </c>
      <c r="D39" s="8">
        <v>-5</v>
      </c>
      <c r="E39" s="8">
        <v>8</v>
      </c>
      <c r="F39" s="8">
        <v>3</v>
      </c>
      <c r="G39" s="8">
        <v>1</v>
      </c>
      <c r="H39" s="8">
        <v>75</v>
      </c>
      <c r="I39" s="8">
        <v>69</v>
      </c>
      <c r="J39" s="8">
        <v>24</v>
      </c>
      <c r="K39" s="8">
        <v>37</v>
      </c>
      <c r="L39" s="8">
        <v>0</v>
      </c>
      <c r="M39" s="8">
        <v>15</v>
      </c>
      <c r="N39" s="8">
        <v>3.75</v>
      </c>
      <c r="O39" s="8">
        <v>81</v>
      </c>
      <c r="P39" s="8">
        <v>96</v>
      </c>
      <c r="Q39" s="9">
        <v>0.84399999999999997</v>
      </c>
      <c r="R39" s="8">
        <v>0</v>
      </c>
      <c r="S39" s="10">
        <v>2</v>
      </c>
      <c r="T39">
        <v>4</v>
      </c>
      <c r="U39">
        <v>1</v>
      </c>
      <c r="V39" t="s">
        <v>26</v>
      </c>
      <c r="W39">
        <v>44</v>
      </c>
      <c r="X39" t="str">
        <f>_xlfn.XLOOKUP(Data[[#This Row],[Team]],[1]!Table2[TeamName],[1]!Table2[Owner])</f>
        <v>Scott</v>
      </c>
    </row>
    <row r="40" spans="1:24" x14ac:dyDescent="0.3">
      <c r="A40" t="s">
        <v>27</v>
      </c>
      <c r="B40" s="8">
        <v>7</v>
      </c>
      <c r="C40" s="8">
        <v>19</v>
      </c>
      <c r="D40" s="8">
        <v>-10</v>
      </c>
      <c r="E40" s="8">
        <v>16</v>
      </c>
      <c r="F40" s="8">
        <v>9</v>
      </c>
      <c r="G40" s="8">
        <v>0</v>
      </c>
      <c r="H40" s="8">
        <v>76</v>
      </c>
      <c r="I40" s="8">
        <v>118</v>
      </c>
      <c r="J40" s="8">
        <v>39</v>
      </c>
      <c r="K40" s="8">
        <v>32</v>
      </c>
      <c r="L40" s="8">
        <v>4</v>
      </c>
      <c r="M40" s="8">
        <v>18</v>
      </c>
      <c r="N40" s="8">
        <v>2.97</v>
      </c>
      <c r="O40" s="8">
        <v>127</v>
      </c>
      <c r="P40" s="8">
        <v>145</v>
      </c>
      <c r="Q40" s="9">
        <v>0.876</v>
      </c>
      <c r="R40" s="8">
        <v>0</v>
      </c>
      <c r="S40" s="10">
        <v>7</v>
      </c>
      <c r="T40">
        <v>4</v>
      </c>
      <c r="U40">
        <v>2</v>
      </c>
      <c r="V40" t="s">
        <v>2</v>
      </c>
      <c r="W40">
        <v>50</v>
      </c>
      <c r="X40" t="str">
        <f>_xlfn.XLOOKUP(Data[[#This Row],[Team]],[1]!Table2[TeamName],[1]!Table2[Owner])</f>
        <v>Kevin</v>
      </c>
    </row>
    <row r="41" spans="1:24" x14ac:dyDescent="0.3">
      <c r="A41" t="s">
        <v>34</v>
      </c>
      <c r="B41" s="8">
        <v>9</v>
      </c>
      <c r="C41" s="8">
        <v>18</v>
      </c>
      <c r="D41" s="8">
        <v>-7</v>
      </c>
      <c r="E41" s="8">
        <v>16</v>
      </c>
      <c r="F41" s="8">
        <v>8</v>
      </c>
      <c r="G41" s="8">
        <v>0</v>
      </c>
      <c r="H41" s="8">
        <v>95</v>
      </c>
      <c r="I41" s="8">
        <v>117</v>
      </c>
      <c r="J41" s="8">
        <v>47</v>
      </c>
      <c r="K41" s="8">
        <v>29</v>
      </c>
      <c r="L41" s="8">
        <v>1</v>
      </c>
      <c r="M41" s="8">
        <v>11</v>
      </c>
      <c r="N41" s="8">
        <v>3.69</v>
      </c>
      <c r="O41" s="8">
        <v>66</v>
      </c>
      <c r="P41" s="8">
        <v>77</v>
      </c>
      <c r="Q41" s="9">
        <v>0.85699999999999998</v>
      </c>
      <c r="R41" s="8">
        <v>0</v>
      </c>
      <c r="S41" s="10">
        <v>5</v>
      </c>
      <c r="T41">
        <v>4</v>
      </c>
      <c r="U41">
        <v>2</v>
      </c>
      <c r="V41" t="s">
        <v>26</v>
      </c>
      <c r="W41">
        <v>50</v>
      </c>
      <c r="X41" t="str">
        <f>_xlfn.XLOOKUP(Data[[#This Row],[Team]],[1]!Table2[TeamName],[1]!Table2[Owner])</f>
        <v>Thomas</v>
      </c>
    </row>
    <row r="42" spans="1:24" x14ac:dyDescent="0.3">
      <c r="A42" t="s">
        <v>29</v>
      </c>
      <c r="B42" s="8">
        <v>12</v>
      </c>
      <c r="C42" s="8">
        <v>26</v>
      </c>
      <c r="D42" s="8">
        <v>16</v>
      </c>
      <c r="E42" s="8">
        <v>12</v>
      </c>
      <c r="F42" s="8">
        <v>8</v>
      </c>
      <c r="G42" s="8">
        <v>2</v>
      </c>
      <c r="H42" s="8">
        <v>90</v>
      </c>
      <c r="I42" s="8">
        <v>117</v>
      </c>
      <c r="J42" s="8">
        <v>20</v>
      </c>
      <c r="K42" s="8">
        <v>39</v>
      </c>
      <c r="L42" s="8">
        <v>1</v>
      </c>
      <c r="M42" s="8">
        <v>12</v>
      </c>
      <c r="N42" s="8">
        <v>2.41</v>
      </c>
      <c r="O42" s="8">
        <v>117</v>
      </c>
      <c r="P42" s="8">
        <v>129</v>
      </c>
      <c r="Q42" s="9">
        <v>0.90700000000000003</v>
      </c>
      <c r="R42" s="8">
        <v>0</v>
      </c>
      <c r="S42" s="10">
        <v>15</v>
      </c>
      <c r="T42">
        <v>4</v>
      </c>
      <c r="U42">
        <v>3</v>
      </c>
      <c r="V42" t="s">
        <v>2</v>
      </c>
      <c r="W42">
        <v>46</v>
      </c>
      <c r="X42" t="str">
        <f>_xlfn.XLOOKUP(Data[[#This Row],[Team]],[1]!Table2[TeamName],[1]!Table2[Owner])</f>
        <v>Spencer</v>
      </c>
    </row>
    <row r="43" spans="1:24" x14ac:dyDescent="0.3">
      <c r="A43" t="s">
        <v>36</v>
      </c>
      <c r="B43" s="8">
        <v>9</v>
      </c>
      <c r="C43" s="8">
        <v>8</v>
      </c>
      <c r="D43" s="8">
        <v>-15</v>
      </c>
      <c r="E43" s="8">
        <v>2</v>
      </c>
      <c r="F43" s="8">
        <v>6</v>
      </c>
      <c r="G43" s="8">
        <v>0</v>
      </c>
      <c r="H43" s="8">
        <v>64</v>
      </c>
      <c r="I43" s="8">
        <v>38</v>
      </c>
      <c r="J43" s="8">
        <v>8</v>
      </c>
      <c r="K43" s="8">
        <v>21</v>
      </c>
      <c r="L43" s="8">
        <v>2</v>
      </c>
      <c r="M43" s="8">
        <v>6</v>
      </c>
      <c r="N43" s="8">
        <v>2.98</v>
      </c>
      <c r="O43" s="8">
        <v>53</v>
      </c>
      <c r="P43" s="8">
        <v>59</v>
      </c>
      <c r="Q43" s="9">
        <v>0.89800000000000002</v>
      </c>
      <c r="R43" s="8">
        <v>0</v>
      </c>
      <c r="S43" s="10">
        <v>0</v>
      </c>
      <c r="T43">
        <v>4</v>
      </c>
      <c r="U43">
        <v>3</v>
      </c>
      <c r="V43" t="s">
        <v>26</v>
      </c>
      <c r="W43">
        <v>33</v>
      </c>
      <c r="X43" t="str">
        <f>_xlfn.XLOOKUP(Data[[#This Row],[Team]],[1]!Table2[TeamName],[1]!Table2[Owner])</f>
        <v>Dan</v>
      </c>
    </row>
    <row r="44" spans="1:24" x14ac:dyDescent="0.3">
      <c r="A44" t="s">
        <v>31</v>
      </c>
      <c r="B44" s="8">
        <v>8</v>
      </c>
      <c r="C44" s="8">
        <v>21</v>
      </c>
      <c r="D44" s="8">
        <v>-9</v>
      </c>
      <c r="E44" s="8">
        <v>20</v>
      </c>
      <c r="F44" s="8">
        <v>7</v>
      </c>
      <c r="G44" s="8">
        <v>0</v>
      </c>
      <c r="H44" s="8">
        <v>119</v>
      </c>
      <c r="I44" s="8">
        <v>99</v>
      </c>
      <c r="J44" s="8">
        <v>44</v>
      </c>
      <c r="K44" s="8">
        <v>38</v>
      </c>
      <c r="L44" s="8">
        <v>3</v>
      </c>
      <c r="M44" s="8">
        <v>5</v>
      </c>
      <c r="N44" s="8">
        <v>1.23</v>
      </c>
      <c r="O44" s="8">
        <v>93</v>
      </c>
      <c r="P44" s="8">
        <v>98</v>
      </c>
      <c r="Q44" s="9">
        <v>0.94899999999999995</v>
      </c>
      <c r="R44" s="8">
        <v>1</v>
      </c>
      <c r="S44" s="10">
        <v>9</v>
      </c>
      <c r="T44">
        <v>4</v>
      </c>
      <c r="U44">
        <v>4</v>
      </c>
      <c r="V44" t="s">
        <v>2</v>
      </c>
      <c r="W44">
        <v>48</v>
      </c>
      <c r="X44" t="str">
        <f>_xlfn.XLOOKUP(Data[[#This Row],[Team]],[1]!Table2[TeamName],[1]!Table2[Owner])</f>
        <v>Chris</v>
      </c>
    </row>
    <row r="45" spans="1:24" x14ac:dyDescent="0.3">
      <c r="A45" t="s">
        <v>33</v>
      </c>
      <c r="B45" s="8">
        <v>8</v>
      </c>
      <c r="C45" s="8">
        <v>16</v>
      </c>
      <c r="D45" s="8">
        <v>-4</v>
      </c>
      <c r="E45" s="8">
        <v>16</v>
      </c>
      <c r="F45" s="8">
        <v>7</v>
      </c>
      <c r="G45" s="8">
        <v>0</v>
      </c>
      <c r="H45" s="8">
        <v>94</v>
      </c>
      <c r="I45" s="8">
        <v>110</v>
      </c>
      <c r="J45" s="8">
        <v>49</v>
      </c>
      <c r="K45" s="8">
        <v>34</v>
      </c>
      <c r="L45" s="8">
        <v>2</v>
      </c>
      <c r="M45" s="8">
        <v>16</v>
      </c>
      <c r="N45" s="8">
        <v>2.67</v>
      </c>
      <c r="O45" s="8">
        <v>152</v>
      </c>
      <c r="P45" s="8">
        <v>168</v>
      </c>
      <c r="Q45" s="9">
        <v>0.90500000000000003</v>
      </c>
      <c r="R45" s="8">
        <v>0</v>
      </c>
      <c r="S45" s="10">
        <v>3</v>
      </c>
      <c r="T45">
        <v>4</v>
      </c>
      <c r="U45">
        <v>4</v>
      </c>
      <c r="V45" t="s">
        <v>26</v>
      </c>
      <c r="W45">
        <v>47</v>
      </c>
      <c r="X45" t="str">
        <f>_xlfn.XLOOKUP(Data[[#This Row],[Team]],[1]!Table2[TeamName],[1]!Table2[Owner])</f>
        <v>Lucas</v>
      </c>
    </row>
    <row r="46" spans="1:24" x14ac:dyDescent="0.3">
      <c r="A46" t="s">
        <v>25</v>
      </c>
      <c r="B46" s="8">
        <v>12</v>
      </c>
      <c r="C46" s="8">
        <v>22</v>
      </c>
      <c r="D46" s="8">
        <v>2</v>
      </c>
      <c r="E46" s="8">
        <v>14</v>
      </c>
      <c r="F46" s="8">
        <v>12</v>
      </c>
      <c r="G46" s="8">
        <v>2</v>
      </c>
      <c r="H46" s="8">
        <v>100</v>
      </c>
      <c r="I46" s="8">
        <v>135</v>
      </c>
      <c r="J46" s="8">
        <v>34</v>
      </c>
      <c r="K46" s="8">
        <v>42</v>
      </c>
      <c r="L46" s="8">
        <v>1</v>
      </c>
      <c r="M46" s="8">
        <v>14</v>
      </c>
      <c r="N46" s="8">
        <v>2.83</v>
      </c>
      <c r="O46" s="8">
        <v>118</v>
      </c>
      <c r="P46" s="8">
        <v>132</v>
      </c>
      <c r="Q46" s="9">
        <v>0.89400000000000002</v>
      </c>
      <c r="R46" s="8">
        <v>0</v>
      </c>
      <c r="S46" s="10">
        <v>8</v>
      </c>
      <c r="T46">
        <v>4</v>
      </c>
      <c r="U46">
        <v>5</v>
      </c>
      <c r="V46" t="s">
        <v>2</v>
      </c>
      <c r="W46">
        <v>53</v>
      </c>
      <c r="X46" t="str">
        <f>_xlfn.XLOOKUP(Data[[#This Row],[Team]],[1]!Table2[TeamName],[1]!Table2[Owner])</f>
        <v>Avery</v>
      </c>
    </row>
    <row r="47" spans="1:24" x14ac:dyDescent="0.3">
      <c r="A47" t="s">
        <v>35</v>
      </c>
      <c r="B47" s="8">
        <v>15</v>
      </c>
      <c r="C47" s="8">
        <v>18</v>
      </c>
      <c r="D47" s="8">
        <v>2</v>
      </c>
      <c r="E47" s="8">
        <v>22</v>
      </c>
      <c r="F47" s="8">
        <v>7</v>
      </c>
      <c r="G47" s="8">
        <v>0</v>
      </c>
      <c r="H47" s="8">
        <v>95</v>
      </c>
      <c r="I47" s="8">
        <v>119</v>
      </c>
      <c r="J47" s="8">
        <v>40</v>
      </c>
      <c r="K47" s="8">
        <v>45</v>
      </c>
      <c r="L47" s="8">
        <v>2</v>
      </c>
      <c r="M47" s="8">
        <v>18</v>
      </c>
      <c r="N47" s="8">
        <v>3.46</v>
      </c>
      <c r="O47" s="8">
        <v>104</v>
      </c>
      <c r="P47" s="8">
        <v>122</v>
      </c>
      <c r="Q47" s="9">
        <v>0.85199999999999998</v>
      </c>
      <c r="R47" s="8">
        <v>0</v>
      </c>
      <c r="S47" s="10">
        <v>5</v>
      </c>
      <c r="T47">
        <v>4</v>
      </c>
      <c r="U47">
        <v>5</v>
      </c>
      <c r="V47" t="s">
        <v>26</v>
      </c>
      <c r="W47">
        <v>53</v>
      </c>
      <c r="X47" t="str">
        <f>_xlfn.XLOOKUP(Data[[#This Row],[Team]],[1]!Table2[TeamName],[1]!Table2[Owner])</f>
        <v>Lonya</v>
      </c>
    </row>
    <row r="48" spans="1:24" x14ac:dyDescent="0.3">
      <c r="A48" t="s">
        <v>30</v>
      </c>
      <c r="B48" s="8">
        <v>9</v>
      </c>
      <c r="C48" s="8">
        <v>12</v>
      </c>
      <c r="D48" s="8">
        <v>4</v>
      </c>
      <c r="E48" s="8">
        <v>12</v>
      </c>
      <c r="F48" s="8">
        <v>2</v>
      </c>
      <c r="G48" s="8">
        <v>1</v>
      </c>
      <c r="H48" s="8">
        <v>73</v>
      </c>
      <c r="I48" s="8">
        <v>44</v>
      </c>
      <c r="J48" s="8">
        <v>34</v>
      </c>
      <c r="K48" s="8">
        <v>16</v>
      </c>
      <c r="L48" s="8">
        <v>1</v>
      </c>
      <c r="M48" s="8">
        <v>19</v>
      </c>
      <c r="N48" s="8">
        <v>3.76</v>
      </c>
      <c r="O48" s="8">
        <v>104</v>
      </c>
      <c r="P48" s="8">
        <v>123</v>
      </c>
      <c r="Q48" s="9">
        <v>0.84599999999999997</v>
      </c>
      <c r="R48" s="8">
        <v>0</v>
      </c>
      <c r="S48" s="10">
        <v>0</v>
      </c>
      <c r="T48">
        <v>4</v>
      </c>
      <c r="U48">
        <v>6</v>
      </c>
      <c r="V48" t="s">
        <v>2</v>
      </c>
      <c r="W48">
        <v>42</v>
      </c>
      <c r="X48" t="str">
        <f>_xlfn.XLOOKUP(Data[[#This Row],[Team]],[1]!Table2[TeamName],[1]!Table2[Owner])</f>
        <v>Robert</v>
      </c>
    </row>
    <row r="49" spans="1:24" x14ac:dyDescent="0.3">
      <c r="A49" t="s">
        <v>28</v>
      </c>
      <c r="B49" s="8">
        <v>11</v>
      </c>
      <c r="C49" s="8">
        <v>24</v>
      </c>
      <c r="D49" s="8">
        <v>8</v>
      </c>
      <c r="E49" s="8">
        <v>45</v>
      </c>
      <c r="F49" s="8">
        <v>9</v>
      </c>
      <c r="G49" s="8">
        <v>1</v>
      </c>
      <c r="H49" s="8">
        <v>75</v>
      </c>
      <c r="I49" s="8">
        <v>86</v>
      </c>
      <c r="J49" s="8">
        <v>65</v>
      </c>
      <c r="K49" s="8">
        <v>46</v>
      </c>
      <c r="L49" s="8">
        <v>4</v>
      </c>
      <c r="M49" s="8">
        <v>14</v>
      </c>
      <c r="N49" s="8">
        <v>2.75</v>
      </c>
      <c r="O49" s="8">
        <v>135</v>
      </c>
      <c r="P49" s="8">
        <v>149</v>
      </c>
      <c r="Q49" s="9">
        <v>0.90600000000000003</v>
      </c>
      <c r="R49" s="8">
        <v>0</v>
      </c>
      <c r="S49" s="10">
        <v>13</v>
      </c>
      <c r="T49">
        <v>4</v>
      </c>
      <c r="U49">
        <v>6</v>
      </c>
      <c r="V49" t="s">
        <v>26</v>
      </c>
      <c r="W49">
        <v>51</v>
      </c>
      <c r="X49" t="str">
        <f>_xlfn.XLOOKUP(Data[[#This Row],[Team]],[1]!Table2[TeamName],[1]!Table2[Owner])</f>
        <v>Matt</v>
      </c>
    </row>
    <row r="50" spans="1:24" x14ac:dyDescent="0.3">
      <c r="A50" t="s">
        <v>24</v>
      </c>
      <c r="B50" s="8">
        <v>21</v>
      </c>
      <c r="C50" s="8">
        <v>22</v>
      </c>
      <c r="D50" s="8">
        <v>2</v>
      </c>
      <c r="E50" s="8">
        <v>29</v>
      </c>
      <c r="F50" s="8">
        <v>9</v>
      </c>
      <c r="G50" s="8">
        <v>0</v>
      </c>
      <c r="H50" s="8">
        <v>122</v>
      </c>
      <c r="I50" s="8">
        <v>98</v>
      </c>
      <c r="J50" s="8">
        <v>39</v>
      </c>
      <c r="K50" s="8">
        <v>41</v>
      </c>
      <c r="L50" s="8">
        <v>4</v>
      </c>
      <c r="M50" s="8">
        <v>18</v>
      </c>
      <c r="N50" s="8">
        <v>3.62</v>
      </c>
      <c r="O50" s="8">
        <v>111</v>
      </c>
      <c r="P50" s="8">
        <v>129</v>
      </c>
      <c r="Q50" s="9">
        <v>0.86</v>
      </c>
      <c r="R50" s="8">
        <v>0</v>
      </c>
      <c r="S50" s="10">
        <v>10</v>
      </c>
      <c r="T50">
        <v>5</v>
      </c>
      <c r="U50">
        <v>1</v>
      </c>
      <c r="V50" t="s">
        <v>2</v>
      </c>
      <c r="W50">
        <v>59</v>
      </c>
      <c r="X50" t="str">
        <f>_xlfn.XLOOKUP(Data[[#This Row],[Team]],[1]!Table2[TeamName],[1]!Table2[Owner])</f>
        <v>Dave</v>
      </c>
    </row>
    <row r="51" spans="1:24" x14ac:dyDescent="0.3">
      <c r="A51" t="s">
        <v>36</v>
      </c>
      <c r="B51" s="8">
        <v>5</v>
      </c>
      <c r="C51" s="8">
        <v>19</v>
      </c>
      <c r="D51" s="8">
        <v>-5</v>
      </c>
      <c r="E51" s="8">
        <v>4</v>
      </c>
      <c r="F51" s="8">
        <v>8</v>
      </c>
      <c r="G51" s="8">
        <v>0</v>
      </c>
      <c r="H51" s="8">
        <v>103</v>
      </c>
      <c r="I51" s="8">
        <v>73</v>
      </c>
      <c r="J51" s="8">
        <v>18</v>
      </c>
      <c r="K51" s="8">
        <v>18</v>
      </c>
      <c r="L51" s="8">
        <v>0</v>
      </c>
      <c r="M51" s="8">
        <v>12</v>
      </c>
      <c r="N51" s="8">
        <v>3.5</v>
      </c>
      <c r="O51" s="8">
        <v>83</v>
      </c>
      <c r="P51" s="8">
        <v>95</v>
      </c>
      <c r="Q51" s="9">
        <v>0.874</v>
      </c>
      <c r="R51" s="8">
        <v>0</v>
      </c>
      <c r="S51" s="10">
        <v>3</v>
      </c>
      <c r="T51">
        <v>5</v>
      </c>
      <c r="U51">
        <v>1</v>
      </c>
      <c r="V51" t="s">
        <v>26</v>
      </c>
      <c r="W51">
        <v>41</v>
      </c>
      <c r="X51" t="str">
        <f>_xlfn.XLOOKUP(Data[[#This Row],[Team]],[1]!Table2[TeamName],[1]!Table2[Owner])</f>
        <v>Dan</v>
      </c>
    </row>
    <row r="52" spans="1:24" x14ac:dyDescent="0.3">
      <c r="A52" t="s">
        <v>27</v>
      </c>
      <c r="B52" s="8">
        <v>16</v>
      </c>
      <c r="C52" s="8">
        <v>21</v>
      </c>
      <c r="D52" s="8">
        <v>0</v>
      </c>
      <c r="E52" s="8">
        <v>28</v>
      </c>
      <c r="F52" s="8">
        <v>13</v>
      </c>
      <c r="G52" s="8">
        <v>0</v>
      </c>
      <c r="H52" s="8">
        <v>120</v>
      </c>
      <c r="I52" s="8">
        <v>119</v>
      </c>
      <c r="J52" s="8">
        <v>44</v>
      </c>
      <c r="K52" s="8">
        <v>48</v>
      </c>
      <c r="L52" s="8">
        <v>0</v>
      </c>
      <c r="M52" s="8">
        <v>9</v>
      </c>
      <c r="N52" s="8">
        <v>2.99</v>
      </c>
      <c r="O52" s="8">
        <v>74</v>
      </c>
      <c r="P52" s="8">
        <v>83</v>
      </c>
      <c r="Q52" s="9">
        <v>0.89200000000000002</v>
      </c>
      <c r="R52" s="8">
        <v>0</v>
      </c>
      <c r="S52" s="10">
        <v>7</v>
      </c>
      <c r="T52">
        <v>5</v>
      </c>
      <c r="U52">
        <v>2</v>
      </c>
      <c r="V52" t="s">
        <v>2</v>
      </c>
      <c r="W52">
        <v>57</v>
      </c>
      <c r="X52" t="str">
        <f>_xlfn.XLOOKUP(Data[[#This Row],[Team]],[1]!Table2[TeamName],[1]!Table2[Owner])</f>
        <v>Kevin</v>
      </c>
    </row>
    <row r="53" spans="1:24" x14ac:dyDescent="0.3">
      <c r="A53" t="s">
        <v>32</v>
      </c>
      <c r="B53" s="8">
        <v>12</v>
      </c>
      <c r="C53" s="8">
        <v>28</v>
      </c>
      <c r="D53" s="8">
        <v>5</v>
      </c>
      <c r="E53" s="8">
        <v>31</v>
      </c>
      <c r="F53" s="8">
        <v>11</v>
      </c>
      <c r="G53" s="8">
        <v>0</v>
      </c>
      <c r="H53" s="8">
        <v>99</v>
      </c>
      <c r="I53" s="8">
        <v>95</v>
      </c>
      <c r="J53" s="8">
        <v>54</v>
      </c>
      <c r="K53" s="8">
        <v>70</v>
      </c>
      <c r="L53" s="8">
        <v>2</v>
      </c>
      <c r="M53" s="8">
        <v>13</v>
      </c>
      <c r="N53" s="8">
        <v>3.48</v>
      </c>
      <c r="O53" s="8">
        <v>78</v>
      </c>
      <c r="P53" s="8">
        <v>91</v>
      </c>
      <c r="Q53" s="9">
        <v>0.85699999999999998</v>
      </c>
      <c r="R53" s="8">
        <v>0</v>
      </c>
      <c r="S53" s="10">
        <v>6</v>
      </c>
      <c r="T53">
        <v>5</v>
      </c>
      <c r="U53">
        <v>2</v>
      </c>
      <c r="V53" t="s">
        <v>26</v>
      </c>
      <c r="W53">
        <v>65</v>
      </c>
      <c r="X53" t="str">
        <f>_xlfn.XLOOKUP(Data[[#This Row],[Team]],[1]!Table2[TeamName],[1]!Table2[Owner])</f>
        <v>Scott</v>
      </c>
    </row>
    <row r="54" spans="1:24" x14ac:dyDescent="0.3">
      <c r="A54" t="s">
        <v>29</v>
      </c>
      <c r="B54" s="8">
        <v>27</v>
      </c>
      <c r="C54" s="8">
        <v>18</v>
      </c>
      <c r="D54" s="8">
        <v>-3</v>
      </c>
      <c r="E54" s="8">
        <v>44</v>
      </c>
      <c r="F54" s="8">
        <v>13</v>
      </c>
      <c r="G54" s="8">
        <v>1</v>
      </c>
      <c r="H54" s="8">
        <v>108</v>
      </c>
      <c r="I54" s="8">
        <v>137</v>
      </c>
      <c r="J54" s="8">
        <v>44</v>
      </c>
      <c r="K54" s="8">
        <v>37</v>
      </c>
      <c r="L54" s="8">
        <v>2</v>
      </c>
      <c r="M54" s="8">
        <v>4</v>
      </c>
      <c r="N54" s="8">
        <v>1.35</v>
      </c>
      <c r="O54" s="8">
        <v>62</v>
      </c>
      <c r="P54" s="8">
        <v>66</v>
      </c>
      <c r="Q54" s="9">
        <v>0.93899999999999995</v>
      </c>
      <c r="R54" s="8">
        <v>1</v>
      </c>
      <c r="S54" s="10">
        <v>6</v>
      </c>
      <c r="T54">
        <v>5</v>
      </c>
      <c r="U54">
        <v>3</v>
      </c>
      <c r="V54" t="s">
        <v>2</v>
      </c>
      <c r="W54">
        <v>57</v>
      </c>
      <c r="X54" t="str">
        <f>_xlfn.XLOOKUP(Data[[#This Row],[Team]],[1]!Table2[TeamName],[1]!Table2[Owner])</f>
        <v>Spencer</v>
      </c>
    </row>
    <row r="55" spans="1:24" x14ac:dyDescent="0.3">
      <c r="A55" t="s">
        <v>31</v>
      </c>
      <c r="B55" s="8">
        <v>15</v>
      </c>
      <c r="C55" s="8">
        <v>23</v>
      </c>
      <c r="D55" s="8">
        <v>-1</v>
      </c>
      <c r="E55" s="8">
        <v>22</v>
      </c>
      <c r="F55" s="8">
        <v>16</v>
      </c>
      <c r="G55" s="8">
        <v>1</v>
      </c>
      <c r="H55" s="8">
        <v>108</v>
      </c>
      <c r="I55" s="8">
        <v>160</v>
      </c>
      <c r="J55" s="8">
        <v>54</v>
      </c>
      <c r="K55" s="8">
        <v>42</v>
      </c>
      <c r="L55" s="8">
        <v>4</v>
      </c>
      <c r="M55" s="8">
        <v>14</v>
      </c>
      <c r="N55" s="8">
        <v>2.83</v>
      </c>
      <c r="O55" s="8">
        <v>126</v>
      </c>
      <c r="P55" s="8">
        <v>140</v>
      </c>
      <c r="Q55" s="9">
        <v>0.9</v>
      </c>
      <c r="R55" s="8">
        <v>0</v>
      </c>
      <c r="S55" s="10">
        <v>7</v>
      </c>
      <c r="T55">
        <v>5</v>
      </c>
      <c r="U55">
        <v>3</v>
      </c>
      <c r="V55" t="s">
        <v>26</v>
      </c>
      <c r="W55">
        <v>53</v>
      </c>
      <c r="X55" t="str">
        <f>_xlfn.XLOOKUP(Data[[#This Row],[Team]],[1]!Table2[TeamName],[1]!Table2[Owner])</f>
        <v>Chris</v>
      </c>
    </row>
    <row r="56" spans="1:24" x14ac:dyDescent="0.3">
      <c r="A56" t="s">
        <v>25</v>
      </c>
      <c r="B56" s="8">
        <v>7</v>
      </c>
      <c r="C56" s="8">
        <v>26</v>
      </c>
      <c r="D56" s="8">
        <v>0</v>
      </c>
      <c r="E56" s="8">
        <v>21</v>
      </c>
      <c r="F56" s="8">
        <v>10</v>
      </c>
      <c r="G56" s="8">
        <v>1</v>
      </c>
      <c r="H56" s="8">
        <v>125</v>
      </c>
      <c r="I56" s="8">
        <v>123</v>
      </c>
      <c r="J56" s="8">
        <v>30</v>
      </c>
      <c r="K56" s="8">
        <v>39</v>
      </c>
      <c r="L56" s="8">
        <v>3</v>
      </c>
      <c r="M56" s="8">
        <v>12</v>
      </c>
      <c r="N56" s="8">
        <v>2.37</v>
      </c>
      <c r="O56" s="8">
        <v>136</v>
      </c>
      <c r="P56" s="8">
        <v>148</v>
      </c>
      <c r="Q56" s="9">
        <v>0.91900000000000004</v>
      </c>
      <c r="R56" s="8">
        <v>1</v>
      </c>
      <c r="S56" s="10">
        <v>7</v>
      </c>
      <c r="T56">
        <v>5</v>
      </c>
      <c r="U56">
        <v>4</v>
      </c>
      <c r="V56" t="s">
        <v>2</v>
      </c>
      <c r="W56">
        <v>59</v>
      </c>
      <c r="X56" t="str">
        <f>_xlfn.XLOOKUP(Data[[#This Row],[Team]],[1]!Table2[TeamName],[1]!Table2[Owner])</f>
        <v>Avery</v>
      </c>
    </row>
    <row r="57" spans="1:24" x14ac:dyDescent="0.3">
      <c r="A57" t="s">
        <v>30</v>
      </c>
      <c r="B57" s="8">
        <v>9</v>
      </c>
      <c r="C57" s="8">
        <v>17</v>
      </c>
      <c r="D57" s="8">
        <v>19</v>
      </c>
      <c r="E57" s="8">
        <v>10</v>
      </c>
      <c r="F57" s="8">
        <v>7</v>
      </c>
      <c r="G57" s="8">
        <v>0</v>
      </c>
      <c r="H57" s="8">
        <v>78</v>
      </c>
      <c r="I57" s="8">
        <v>30</v>
      </c>
      <c r="J57" s="8">
        <v>39</v>
      </c>
      <c r="K57" s="8">
        <v>25</v>
      </c>
      <c r="L57" s="8">
        <v>3</v>
      </c>
      <c r="M57" s="8">
        <v>8</v>
      </c>
      <c r="N57" s="8">
        <v>2.29</v>
      </c>
      <c r="O57" s="8">
        <v>111</v>
      </c>
      <c r="P57" s="8">
        <v>119</v>
      </c>
      <c r="Q57" s="9">
        <v>0.93300000000000005</v>
      </c>
      <c r="R57" s="8">
        <v>1</v>
      </c>
      <c r="S57" s="10">
        <v>6</v>
      </c>
      <c r="T57">
        <v>5</v>
      </c>
      <c r="U57">
        <v>4</v>
      </c>
      <c r="V57" t="s">
        <v>26</v>
      </c>
      <c r="W57">
        <v>48</v>
      </c>
      <c r="X57" t="str">
        <f>_xlfn.XLOOKUP(Data[[#This Row],[Team]],[1]!Table2[TeamName],[1]!Table2[Owner])</f>
        <v>Robert</v>
      </c>
    </row>
    <row r="58" spans="1:24" x14ac:dyDescent="0.3">
      <c r="A58" t="s">
        <v>33</v>
      </c>
      <c r="B58" s="8">
        <v>15</v>
      </c>
      <c r="C58" s="8">
        <v>24</v>
      </c>
      <c r="D58" s="8">
        <v>9</v>
      </c>
      <c r="E58" s="8">
        <v>22</v>
      </c>
      <c r="F58" s="8">
        <v>14</v>
      </c>
      <c r="G58" s="8">
        <v>0</v>
      </c>
      <c r="H58" s="8">
        <v>117</v>
      </c>
      <c r="I58" s="8">
        <v>127</v>
      </c>
      <c r="J58" s="8">
        <v>48</v>
      </c>
      <c r="K58" s="8">
        <v>53</v>
      </c>
      <c r="L58" s="8">
        <v>2</v>
      </c>
      <c r="M58" s="8">
        <v>11</v>
      </c>
      <c r="N58" s="8">
        <v>2.19</v>
      </c>
      <c r="O58" s="8">
        <v>138</v>
      </c>
      <c r="P58" s="8">
        <v>149</v>
      </c>
      <c r="Q58" s="9">
        <v>0.92600000000000005</v>
      </c>
      <c r="R58" s="8">
        <v>0</v>
      </c>
      <c r="S58" s="10">
        <v>8</v>
      </c>
      <c r="T58">
        <v>5</v>
      </c>
      <c r="U58">
        <v>5</v>
      </c>
      <c r="V58" t="s">
        <v>2</v>
      </c>
      <c r="W58">
        <v>61</v>
      </c>
      <c r="X58" t="str">
        <f>_xlfn.XLOOKUP(Data[[#This Row],[Team]],[1]!Table2[TeamName],[1]!Table2[Owner])</f>
        <v>Lucas</v>
      </c>
    </row>
    <row r="59" spans="1:24" x14ac:dyDescent="0.3">
      <c r="A59" t="s">
        <v>35</v>
      </c>
      <c r="B59" s="8">
        <v>13</v>
      </c>
      <c r="C59" s="8">
        <v>15</v>
      </c>
      <c r="D59" s="8">
        <v>-26</v>
      </c>
      <c r="E59" s="8">
        <v>19</v>
      </c>
      <c r="F59" s="8">
        <v>9</v>
      </c>
      <c r="G59" s="8">
        <v>0</v>
      </c>
      <c r="H59" s="8">
        <v>116</v>
      </c>
      <c r="I59" s="8">
        <v>139</v>
      </c>
      <c r="J59" s="8">
        <v>58</v>
      </c>
      <c r="K59" s="8">
        <v>64</v>
      </c>
      <c r="L59" s="8">
        <v>2</v>
      </c>
      <c r="M59" s="8">
        <v>9</v>
      </c>
      <c r="N59" s="8">
        <v>2.85</v>
      </c>
      <c r="O59" s="8">
        <v>71</v>
      </c>
      <c r="P59" s="8">
        <v>80</v>
      </c>
      <c r="Q59" s="9">
        <v>0.88800000000000001</v>
      </c>
      <c r="R59" s="8">
        <v>0</v>
      </c>
      <c r="S59" s="10">
        <v>4</v>
      </c>
      <c r="T59">
        <v>5</v>
      </c>
      <c r="U59">
        <v>5</v>
      </c>
      <c r="V59" t="s">
        <v>26</v>
      </c>
      <c r="W59">
        <v>63</v>
      </c>
      <c r="X59" t="str">
        <f>_xlfn.XLOOKUP(Data[[#This Row],[Team]],[1]!Table2[TeamName],[1]!Table2[Owner])</f>
        <v>Lonya</v>
      </c>
    </row>
    <row r="60" spans="1:24" x14ac:dyDescent="0.3">
      <c r="A60" t="s">
        <v>34</v>
      </c>
      <c r="B60" s="8">
        <v>13</v>
      </c>
      <c r="C60" s="8">
        <v>21</v>
      </c>
      <c r="D60" s="8">
        <v>6</v>
      </c>
      <c r="E60" s="8">
        <v>16</v>
      </c>
      <c r="F60" s="8">
        <v>8</v>
      </c>
      <c r="G60" s="8">
        <v>1</v>
      </c>
      <c r="H60" s="8">
        <v>106</v>
      </c>
      <c r="I60" s="8">
        <v>113</v>
      </c>
      <c r="J60" s="8">
        <v>47</v>
      </c>
      <c r="K60" s="8">
        <v>41</v>
      </c>
      <c r="L60" s="8">
        <v>2</v>
      </c>
      <c r="M60" s="8">
        <v>7</v>
      </c>
      <c r="N60" s="8">
        <v>2.33</v>
      </c>
      <c r="O60" s="8">
        <v>69</v>
      </c>
      <c r="P60" s="8">
        <v>76</v>
      </c>
      <c r="Q60" s="9">
        <v>0.90800000000000003</v>
      </c>
      <c r="R60" s="8">
        <v>1</v>
      </c>
      <c r="S60" s="10">
        <v>8</v>
      </c>
      <c r="T60">
        <v>5</v>
      </c>
      <c r="U60">
        <v>6</v>
      </c>
      <c r="V60" t="s">
        <v>2</v>
      </c>
      <c r="W60">
        <v>60</v>
      </c>
      <c r="X60" t="str">
        <f>_xlfn.XLOOKUP(Data[[#This Row],[Team]],[1]!Table2[TeamName],[1]!Table2[Owner])</f>
        <v>Thomas</v>
      </c>
    </row>
    <row r="61" spans="1:24" x14ac:dyDescent="0.3">
      <c r="A61" t="s">
        <v>28</v>
      </c>
      <c r="B61" s="8">
        <v>14</v>
      </c>
      <c r="C61" s="8">
        <v>16</v>
      </c>
      <c r="D61" s="8">
        <v>3</v>
      </c>
      <c r="E61" s="8">
        <v>40</v>
      </c>
      <c r="F61" s="8">
        <v>7</v>
      </c>
      <c r="G61" s="8">
        <v>1</v>
      </c>
      <c r="H61" s="8">
        <v>111</v>
      </c>
      <c r="I61" s="8">
        <v>70</v>
      </c>
      <c r="J61" s="8">
        <v>68</v>
      </c>
      <c r="K61" s="8">
        <v>47</v>
      </c>
      <c r="L61" s="8">
        <v>2</v>
      </c>
      <c r="M61" s="8">
        <v>17</v>
      </c>
      <c r="N61" s="8">
        <v>4.3</v>
      </c>
      <c r="O61" s="8">
        <v>103</v>
      </c>
      <c r="P61" s="8">
        <v>120</v>
      </c>
      <c r="Q61" s="9">
        <v>0.85799999999999998</v>
      </c>
      <c r="R61" s="8">
        <v>0</v>
      </c>
      <c r="S61" s="10">
        <v>5</v>
      </c>
      <c r="T61">
        <v>5</v>
      </c>
      <c r="U61">
        <v>6</v>
      </c>
      <c r="V61" t="s">
        <v>26</v>
      </c>
      <c r="W61">
        <v>59</v>
      </c>
      <c r="X61" t="str">
        <f>_xlfn.XLOOKUP(Data[[#This Row],[Team]],[1]!Table2[TeamName],[1]!Table2[Owner])</f>
        <v>Matt</v>
      </c>
    </row>
    <row r="62" spans="1:24" x14ac:dyDescent="0.3">
      <c r="A62" t="s">
        <v>24</v>
      </c>
      <c r="B62" s="8">
        <v>8</v>
      </c>
      <c r="C62" s="8">
        <v>24</v>
      </c>
      <c r="D62" s="8">
        <v>0</v>
      </c>
      <c r="E62" s="8">
        <v>21</v>
      </c>
      <c r="F62" s="8">
        <v>13</v>
      </c>
      <c r="G62" s="8">
        <v>0</v>
      </c>
      <c r="H62" s="8">
        <v>120</v>
      </c>
      <c r="I62" s="8">
        <v>111</v>
      </c>
      <c r="J62" s="8">
        <v>63</v>
      </c>
      <c r="K62" s="8">
        <v>45</v>
      </c>
      <c r="L62" s="8">
        <v>1</v>
      </c>
      <c r="M62" s="8">
        <v>7</v>
      </c>
      <c r="N62" s="8">
        <v>2.38</v>
      </c>
      <c r="O62" s="8">
        <v>79</v>
      </c>
      <c r="P62" s="8">
        <v>86</v>
      </c>
      <c r="Q62" s="9">
        <v>0.91900000000000004</v>
      </c>
      <c r="R62" s="8">
        <v>0</v>
      </c>
      <c r="S62" s="10">
        <v>6</v>
      </c>
      <c r="T62">
        <v>6</v>
      </c>
      <c r="U62">
        <v>1</v>
      </c>
      <c r="V62" t="s">
        <v>2</v>
      </c>
      <c r="W62">
        <v>50</v>
      </c>
      <c r="X62" t="str">
        <f>_xlfn.XLOOKUP(Data[[#This Row],[Team]],[1]!Table2[TeamName],[1]!Table2[Owner])</f>
        <v>Dave</v>
      </c>
    </row>
    <row r="63" spans="1:24" x14ac:dyDescent="0.3">
      <c r="A63" t="s">
        <v>31</v>
      </c>
      <c r="B63" s="8">
        <v>14</v>
      </c>
      <c r="C63" s="8">
        <v>22</v>
      </c>
      <c r="D63" s="8">
        <v>6</v>
      </c>
      <c r="E63" s="8">
        <v>19</v>
      </c>
      <c r="F63" s="8">
        <v>10</v>
      </c>
      <c r="G63" s="8">
        <v>0</v>
      </c>
      <c r="H63" s="8">
        <v>107</v>
      </c>
      <c r="I63" s="8">
        <v>137</v>
      </c>
      <c r="J63" s="8">
        <v>65</v>
      </c>
      <c r="K63" s="8">
        <v>36</v>
      </c>
      <c r="L63" s="8">
        <v>5</v>
      </c>
      <c r="M63" s="8">
        <v>11</v>
      </c>
      <c r="N63" s="8">
        <v>1.92</v>
      </c>
      <c r="O63" s="8">
        <v>140</v>
      </c>
      <c r="P63" s="8">
        <v>151</v>
      </c>
      <c r="Q63" s="9">
        <v>0.92700000000000005</v>
      </c>
      <c r="R63" s="8">
        <v>0</v>
      </c>
      <c r="S63" s="10">
        <v>7</v>
      </c>
      <c r="T63">
        <v>6</v>
      </c>
      <c r="U63">
        <v>1</v>
      </c>
      <c r="V63" t="s">
        <v>26</v>
      </c>
      <c r="W63">
        <v>59</v>
      </c>
      <c r="X63" t="str">
        <f>_xlfn.XLOOKUP(Data[[#This Row],[Team]],[1]!Table2[TeamName],[1]!Table2[Owner])</f>
        <v>Chris</v>
      </c>
    </row>
    <row r="64" spans="1:24" x14ac:dyDescent="0.3">
      <c r="A64" t="s">
        <v>27</v>
      </c>
      <c r="B64" s="8">
        <v>12</v>
      </c>
      <c r="C64" s="8">
        <v>19</v>
      </c>
      <c r="D64" s="8">
        <v>7</v>
      </c>
      <c r="E64" s="8">
        <v>18</v>
      </c>
      <c r="F64" s="8">
        <v>6</v>
      </c>
      <c r="G64" s="8">
        <v>0</v>
      </c>
      <c r="H64" s="8">
        <v>102</v>
      </c>
      <c r="I64" s="8">
        <v>101</v>
      </c>
      <c r="J64" s="8">
        <v>44</v>
      </c>
      <c r="K64" s="8">
        <v>45</v>
      </c>
      <c r="L64" s="8">
        <v>3</v>
      </c>
      <c r="M64" s="8">
        <v>8</v>
      </c>
      <c r="N64" s="8">
        <v>2.65</v>
      </c>
      <c r="O64" s="8">
        <v>90</v>
      </c>
      <c r="P64" s="8">
        <v>98</v>
      </c>
      <c r="Q64" s="9">
        <v>0.91800000000000004</v>
      </c>
      <c r="R64" s="8">
        <v>0</v>
      </c>
      <c r="S64" s="10">
        <v>11</v>
      </c>
      <c r="T64">
        <v>6</v>
      </c>
      <c r="U64">
        <v>2</v>
      </c>
      <c r="V64" t="s">
        <v>2</v>
      </c>
      <c r="W64">
        <v>50</v>
      </c>
      <c r="X64" t="str">
        <f>_xlfn.XLOOKUP(Data[[#This Row],[Team]],[1]!Table2[TeamName],[1]!Table2[Owner])</f>
        <v>Kevin</v>
      </c>
    </row>
    <row r="65" spans="1:24" x14ac:dyDescent="0.3">
      <c r="A65" t="s">
        <v>36</v>
      </c>
      <c r="B65" s="8">
        <v>17</v>
      </c>
      <c r="C65" s="8">
        <v>13</v>
      </c>
      <c r="D65" s="8">
        <v>3</v>
      </c>
      <c r="E65" s="8">
        <v>15</v>
      </c>
      <c r="F65" s="8">
        <v>11</v>
      </c>
      <c r="G65" s="8">
        <v>0</v>
      </c>
      <c r="H65" s="8">
        <v>94</v>
      </c>
      <c r="I65" s="8">
        <v>40</v>
      </c>
      <c r="J65" s="8">
        <v>31</v>
      </c>
      <c r="K65" s="8">
        <v>27</v>
      </c>
      <c r="L65" s="8">
        <v>2</v>
      </c>
      <c r="M65" s="8">
        <v>15</v>
      </c>
      <c r="N65" s="8">
        <v>3.73</v>
      </c>
      <c r="O65" s="8">
        <v>94</v>
      </c>
      <c r="P65" s="8">
        <v>109</v>
      </c>
      <c r="Q65" s="9">
        <v>0.86199999999999999</v>
      </c>
      <c r="R65" s="8">
        <v>0</v>
      </c>
      <c r="S65" s="10">
        <v>2</v>
      </c>
      <c r="T65">
        <v>6</v>
      </c>
      <c r="U65">
        <v>2</v>
      </c>
      <c r="V65" t="s">
        <v>26</v>
      </c>
      <c r="W65">
        <v>40</v>
      </c>
      <c r="X65" t="str">
        <f>_xlfn.XLOOKUP(Data[[#This Row],[Team]],[1]!Table2[TeamName],[1]!Table2[Owner])</f>
        <v>Dan</v>
      </c>
    </row>
    <row r="66" spans="1:24" x14ac:dyDescent="0.3">
      <c r="A66" t="s">
        <v>29</v>
      </c>
      <c r="B66" s="8">
        <v>15</v>
      </c>
      <c r="C66" s="8">
        <v>27</v>
      </c>
      <c r="D66" s="8">
        <v>1</v>
      </c>
      <c r="E66" s="8">
        <v>10</v>
      </c>
      <c r="F66" s="8">
        <v>17</v>
      </c>
      <c r="G66" s="8">
        <v>1</v>
      </c>
      <c r="H66" s="8">
        <v>89</v>
      </c>
      <c r="I66" s="8">
        <v>161</v>
      </c>
      <c r="J66" s="8">
        <v>30</v>
      </c>
      <c r="K66" s="8">
        <v>31</v>
      </c>
      <c r="L66" s="8">
        <v>3</v>
      </c>
      <c r="M66" s="8">
        <v>12</v>
      </c>
      <c r="N66" s="8">
        <v>2.37</v>
      </c>
      <c r="O66" s="8">
        <v>114</v>
      </c>
      <c r="P66" s="8">
        <v>126</v>
      </c>
      <c r="Q66" s="9">
        <v>0.90500000000000003</v>
      </c>
      <c r="R66" s="8">
        <v>0</v>
      </c>
      <c r="S66" s="10">
        <v>8</v>
      </c>
      <c r="T66">
        <v>6</v>
      </c>
      <c r="U66">
        <v>3</v>
      </c>
      <c r="V66" t="s">
        <v>2</v>
      </c>
      <c r="W66">
        <v>51</v>
      </c>
      <c r="X66" t="str">
        <f>_xlfn.XLOOKUP(Data[[#This Row],[Team]],[1]!Table2[TeamName],[1]!Table2[Owner])</f>
        <v>Spencer</v>
      </c>
    </row>
    <row r="67" spans="1:24" x14ac:dyDescent="0.3">
      <c r="A67" t="s">
        <v>33</v>
      </c>
      <c r="B67" s="8">
        <v>13</v>
      </c>
      <c r="C67" s="8">
        <v>24</v>
      </c>
      <c r="D67" s="8">
        <v>4</v>
      </c>
      <c r="E67" s="8">
        <v>10</v>
      </c>
      <c r="F67" s="8">
        <v>10</v>
      </c>
      <c r="G67" s="8">
        <v>1</v>
      </c>
      <c r="H67" s="8">
        <v>106</v>
      </c>
      <c r="I67" s="8">
        <v>98</v>
      </c>
      <c r="J67" s="8">
        <v>39</v>
      </c>
      <c r="K67" s="8">
        <v>42</v>
      </c>
      <c r="L67" s="8">
        <v>2</v>
      </c>
      <c r="M67" s="8">
        <v>15</v>
      </c>
      <c r="N67" s="8">
        <v>2.63</v>
      </c>
      <c r="O67" s="8">
        <v>106</v>
      </c>
      <c r="P67" s="8">
        <v>121</v>
      </c>
      <c r="Q67" s="9">
        <v>0.876</v>
      </c>
      <c r="R67" s="8">
        <v>1</v>
      </c>
      <c r="S67" s="10">
        <v>5</v>
      </c>
      <c r="T67">
        <v>6</v>
      </c>
      <c r="U67">
        <v>3</v>
      </c>
      <c r="V67" t="s">
        <v>26</v>
      </c>
      <c r="W67">
        <v>50</v>
      </c>
      <c r="X67" t="str">
        <f>_xlfn.XLOOKUP(Data[[#This Row],[Team]],[1]!Table2[TeamName],[1]!Table2[Owner])</f>
        <v>Lucas</v>
      </c>
    </row>
    <row r="68" spans="1:24" x14ac:dyDescent="0.3">
      <c r="A68" t="s">
        <v>25</v>
      </c>
      <c r="B68" s="8">
        <v>13</v>
      </c>
      <c r="C68" s="8">
        <v>21</v>
      </c>
      <c r="D68" s="8">
        <v>1</v>
      </c>
      <c r="E68" s="8">
        <v>22</v>
      </c>
      <c r="F68" s="8">
        <v>9</v>
      </c>
      <c r="G68" s="8">
        <v>0</v>
      </c>
      <c r="H68" s="8">
        <v>119</v>
      </c>
      <c r="I68" s="8">
        <v>144</v>
      </c>
      <c r="J68" s="8">
        <v>37</v>
      </c>
      <c r="K68" s="8">
        <v>28</v>
      </c>
      <c r="L68" s="8">
        <v>0</v>
      </c>
      <c r="M68" s="8">
        <v>6</v>
      </c>
      <c r="N68" s="8">
        <v>2.5499999999999998</v>
      </c>
      <c r="O68" s="8">
        <v>55</v>
      </c>
      <c r="P68" s="8">
        <v>61</v>
      </c>
      <c r="Q68" s="9">
        <v>0.90200000000000002</v>
      </c>
      <c r="R68" s="8">
        <v>0</v>
      </c>
      <c r="S68" s="10">
        <v>9</v>
      </c>
      <c r="T68">
        <v>6</v>
      </c>
      <c r="U68">
        <v>4</v>
      </c>
      <c r="V68" t="s">
        <v>2</v>
      </c>
      <c r="W68">
        <v>52</v>
      </c>
      <c r="X68" t="str">
        <f>_xlfn.XLOOKUP(Data[[#This Row],[Team]],[1]!Table2[TeamName],[1]!Table2[Owner])</f>
        <v>Avery</v>
      </c>
    </row>
    <row r="69" spans="1:24" x14ac:dyDescent="0.3">
      <c r="A69" t="s">
        <v>34</v>
      </c>
      <c r="B69" s="8">
        <v>9</v>
      </c>
      <c r="C69" s="8">
        <v>20</v>
      </c>
      <c r="D69" s="8">
        <v>0</v>
      </c>
      <c r="E69" s="8">
        <v>12</v>
      </c>
      <c r="F69" s="8">
        <v>4</v>
      </c>
      <c r="G69" s="8">
        <v>0</v>
      </c>
      <c r="H69" s="8">
        <v>121</v>
      </c>
      <c r="I69" s="8">
        <v>101</v>
      </c>
      <c r="J69" s="8">
        <v>56</v>
      </c>
      <c r="K69" s="8">
        <v>43</v>
      </c>
      <c r="L69" s="8">
        <v>1</v>
      </c>
      <c r="M69" s="8">
        <v>8</v>
      </c>
      <c r="N69" s="8">
        <v>4.4400000000000004</v>
      </c>
      <c r="O69" s="8">
        <v>22</v>
      </c>
      <c r="P69" s="8">
        <v>30</v>
      </c>
      <c r="Q69" s="9">
        <v>0.73299999999999998</v>
      </c>
      <c r="R69" s="8">
        <v>0</v>
      </c>
      <c r="S69" s="10">
        <v>4</v>
      </c>
      <c r="T69">
        <v>6</v>
      </c>
      <c r="U69">
        <v>4</v>
      </c>
      <c r="V69" t="s">
        <v>26</v>
      </c>
      <c r="W69">
        <v>56</v>
      </c>
      <c r="X69" t="str">
        <f>_xlfn.XLOOKUP(Data[[#This Row],[Team]],[1]!Table2[TeamName],[1]!Table2[Owner])</f>
        <v>Thomas</v>
      </c>
    </row>
    <row r="70" spans="1:24" x14ac:dyDescent="0.3">
      <c r="A70" t="s">
        <v>35</v>
      </c>
      <c r="B70" s="8">
        <v>11</v>
      </c>
      <c r="C70" s="8">
        <v>15</v>
      </c>
      <c r="D70" s="8">
        <v>-3</v>
      </c>
      <c r="E70" s="8">
        <v>23</v>
      </c>
      <c r="F70" s="8">
        <v>3</v>
      </c>
      <c r="G70" s="8">
        <v>0</v>
      </c>
      <c r="H70" s="8">
        <v>90</v>
      </c>
      <c r="I70" s="8">
        <v>102</v>
      </c>
      <c r="J70" s="8">
        <v>63</v>
      </c>
      <c r="K70" s="8">
        <v>40</v>
      </c>
      <c r="L70" s="8">
        <v>1</v>
      </c>
      <c r="M70" s="8">
        <v>7</v>
      </c>
      <c r="N70" s="8">
        <v>2.3199999999999998</v>
      </c>
      <c r="O70" s="8">
        <v>65</v>
      </c>
      <c r="P70" s="8">
        <v>72</v>
      </c>
      <c r="Q70" s="9">
        <v>0.90300000000000002</v>
      </c>
      <c r="R70" s="8">
        <v>0</v>
      </c>
      <c r="S70" s="10">
        <v>8</v>
      </c>
      <c r="T70">
        <v>6</v>
      </c>
      <c r="U70">
        <v>5</v>
      </c>
      <c r="V70" t="s">
        <v>2</v>
      </c>
      <c r="W70">
        <v>58</v>
      </c>
      <c r="X70" t="str">
        <f>_xlfn.XLOOKUP(Data[[#This Row],[Team]],[1]!Table2[TeamName],[1]!Table2[Owner])</f>
        <v>Lonya</v>
      </c>
    </row>
    <row r="71" spans="1:24" x14ac:dyDescent="0.3">
      <c r="A71" t="s">
        <v>30</v>
      </c>
      <c r="B71" s="8">
        <v>8</v>
      </c>
      <c r="C71" s="8">
        <v>16</v>
      </c>
      <c r="D71" s="8">
        <v>-5</v>
      </c>
      <c r="E71" s="8">
        <v>27</v>
      </c>
      <c r="F71" s="8">
        <v>9</v>
      </c>
      <c r="G71" s="8">
        <v>0</v>
      </c>
      <c r="H71" s="8">
        <v>68</v>
      </c>
      <c r="I71" s="8">
        <v>43</v>
      </c>
      <c r="J71" s="8">
        <v>24</v>
      </c>
      <c r="K71" s="8">
        <v>14</v>
      </c>
      <c r="L71" s="8">
        <v>2</v>
      </c>
      <c r="M71" s="8">
        <v>13</v>
      </c>
      <c r="N71" s="8">
        <v>3.14</v>
      </c>
      <c r="O71" s="8">
        <v>128</v>
      </c>
      <c r="P71" s="8">
        <v>141</v>
      </c>
      <c r="Q71" s="9">
        <v>0.90800000000000003</v>
      </c>
      <c r="R71" s="8">
        <v>0</v>
      </c>
      <c r="S71" s="10">
        <v>5</v>
      </c>
      <c r="T71">
        <v>6</v>
      </c>
      <c r="U71">
        <v>5</v>
      </c>
      <c r="V71" t="s">
        <v>26</v>
      </c>
      <c r="W71">
        <v>37</v>
      </c>
      <c r="X71" t="str">
        <f>_xlfn.XLOOKUP(Data[[#This Row],[Team]],[1]!Table2[TeamName],[1]!Table2[Owner])</f>
        <v>Robert</v>
      </c>
    </row>
    <row r="72" spans="1:24" x14ac:dyDescent="0.3">
      <c r="A72" t="s">
        <v>32</v>
      </c>
      <c r="B72" s="8">
        <v>17</v>
      </c>
      <c r="C72" s="8">
        <v>28</v>
      </c>
      <c r="D72" s="8">
        <v>17</v>
      </c>
      <c r="E72" s="8">
        <v>25</v>
      </c>
      <c r="F72" s="8">
        <v>16</v>
      </c>
      <c r="G72" s="8">
        <v>0</v>
      </c>
      <c r="H72" s="8">
        <v>111</v>
      </c>
      <c r="I72" s="8">
        <v>83</v>
      </c>
      <c r="J72" s="8">
        <v>29</v>
      </c>
      <c r="K72" s="8">
        <v>37</v>
      </c>
      <c r="L72" s="8">
        <v>1</v>
      </c>
      <c r="M72" s="8">
        <v>13</v>
      </c>
      <c r="N72" s="8">
        <v>3.24</v>
      </c>
      <c r="O72" s="8">
        <v>74</v>
      </c>
      <c r="P72" s="8">
        <v>87</v>
      </c>
      <c r="Q72" s="9">
        <v>0.85099999999999998</v>
      </c>
      <c r="R72" s="8">
        <v>0</v>
      </c>
      <c r="S72" s="10">
        <v>9</v>
      </c>
      <c r="T72">
        <v>6</v>
      </c>
      <c r="U72">
        <v>6</v>
      </c>
      <c r="V72" t="s">
        <v>2</v>
      </c>
      <c r="W72">
        <v>50</v>
      </c>
      <c r="X72" t="str">
        <f>_xlfn.XLOOKUP(Data[[#This Row],[Team]],[1]!Table2[TeamName],[1]!Table2[Owner])</f>
        <v>Scott</v>
      </c>
    </row>
    <row r="73" spans="1:24" x14ac:dyDescent="0.3">
      <c r="A73" t="s">
        <v>28</v>
      </c>
      <c r="B73" s="8">
        <v>12</v>
      </c>
      <c r="C73" s="8">
        <v>20</v>
      </c>
      <c r="D73" s="8">
        <v>-1</v>
      </c>
      <c r="E73" s="8">
        <v>16</v>
      </c>
      <c r="F73" s="8">
        <v>11</v>
      </c>
      <c r="G73" s="8">
        <v>1</v>
      </c>
      <c r="H73" s="8">
        <v>103</v>
      </c>
      <c r="I73" s="8">
        <v>63</v>
      </c>
      <c r="J73" s="8">
        <v>58</v>
      </c>
      <c r="K73" s="8">
        <v>43</v>
      </c>
      <c r="L73" s="8">
        <v>2</v>
      </c>
      <c r="M73" s="8">
        <v>13</v>
      </c>
      <c r="N73" s="8">
        <v>3.86</v>
      </c>
      <c r="O73" s="8">
        <v>69</v>
      </c>
      <c r="P73" s="8">
        <v>82</v>
      </c>
      <c r="Q73" s="9">
        <v>0.84099999999999997</v>
      </c>
      <c r="R73" s="8">
        <v>0</v>
      </c>
      <c r="S73" s="10">
        <v>4</v>
      </c>
      <c r="T73">
        <v>6</v>
      </c>
      <c r="U73">
        <v>6</v>
      </c>
      <c r="V73" t="s">
        <v>26</v>
      </c>
      <c r="W73">
        <v>55</v>
      </c>
      <c r="X73" t="str">
        <f>_xlfn.XLOOKUP(Data[[#This Row],[Team]],[1]!Table2[TeamName],[1]!Table2[Owner])</f>
        <v>Matt</v>
      </c>
    </row>
    <row r="74" spans="1:24" x14ac:dyDescent="0.3">
      <c r="A74" t="s">
        <v>24</v>
      </c>
      <c r="B74" s="8">
        <v>19</v>
      </c>
      <c r="C74" s="8">
        <v>27</v>
      </c>
      <c r="D74" s="8">
        <v>17</v>
      </c>
      <c r="E74" s="8">
        <v>38</v>
      </c>
      <c r="F74" s="8">
        <v>7</v>
      </c>
      <c r="G74" s="8">
        <v>2</v>
      </c>
      <c r="H74" s="8">
        <v>120</v>
      </c>
      <c r="I74" s="8">
        <v>86</v>
      </c>
      <c r="J74" s="8">
        <v>72</v>
      </c>
      <c r="K74" s="8">
        <v>46</v>
      </c>
      <c r="L74" s="8">
        <v>3</v>
      </c>
      <c r="M74" s="8">
        <v>10</v>
      </c>
      <c r="N74" s="8">
        <v>3.34</v>
      </c>
      <c r="O74" s="8">
        <v>62</v>
      </c>
      <c r="P74" s="8">
        <v>72</v>
      </c>
      <c r="Q74" s="9">
        <v>0.86099999999999999</v>
      </c>
      <c r="R74" s="8">
        <v>0</v>
      </c>
      <c r="S74" s="10">
        <v>7</v>
      </c>
      <c r="T74">
        <v>7</v>
      </c>
      <c r="U74">
        <v>1</v>
      </c>
      <c r="V74" t="s">
        <v>2</v>
      </c>
      <c r="W74">
        <v>56</v>
      </c>
      <c r="X74" t="str">
        <f>_xlfn.XLOOKUP(Data[[#This Row],[Team]],[1]!Table2[TeamName],[1]!Table2[Owner])</f>
        <v>Dave</v>
      </c>
    </row>
    <row r="75" spans="1:24" x14ac:dyDescent="0.3">
      <c r="A75" t="s">
        <v>33</v>
      </c>
      <c r="B75" s="8">
        <v>19</v>
      </c>
      <c r="C75" s="8">
        <v>20</v>
      </c>
      <c r="D75" s="8">
        <v>5</v>
      </c>
      <c r="E75" s="8">
        <v>40</v>
      </c>
      <c r="F75" s="8">
        <v>8</v>
      </c>
      <c r="G75" s="8">
        <v>0</v>
      </c>
      <c r="H75" s="8">
        <v>104</v>
      </c>
      <c r="I75" s="8">
        <v>110</v>
      </c>
      <c r="J75" s="8">
        <v>43</v>
      </c>
      <c r="K75" s="8">
        <v>44</v>
      </c>
      <c r="L75" s="8">
        <v>3</v>
      </c>
      <c r="M75" s="8">
        <v>14</v>
      </c>
      <c r="N75" s="8">
        <v>2.61</v>
      </c>
      <c r="O75" s="8">
        <v>149</v>
      </c>
      <c r="P75" s="8">
        <v>163</v>
      </c>
      <c r="Q75" s="9">
        <v>0.91400000000000003</v>
      </c>
      <c r="R75" s="8">
        <v>1</v>
      </c>
      <c r="S75" s="10">
        <v>6</v>
      </c>
      <c r="T75">
        <v>7</v>
      </c>
      <c r="U75">
        <v>1</v>
      </c>
      <c r="V75" t="s">
        <v>26</v>
      </c>
      <c r="W75">
        <v>57</v>
      </c>
      <c r="X75" t="str">
        <f>_xlfn.XLOOKUP(Data[[#This Row],[Team]],[1]!Table2[TeamName],[1]!Table2[Owner])</f>
        <v>Lucas</v>
      </c>
    </row>
    <row r="76" spans="1:24" x14ac:dyDescent="0.3">
      <c r="A76" t="s">
        <v>27</v>
      </c>
      <c r="B76" s="8">
        <v>12</v>
      </c>
      <c r="C76" s="8">
        <v>17</v>
      </c>
      <c r="D76" s="8">
        <v>-9</v>
      </c>
      <c r="E76" s="8">
        <v>20</v>
      </c>
      <c r="F76" s="8">
        <v>8</v>
      </c>
      <c r="G76" s="8">
        <v>0</v>
      </c>
      <c r="H76" s="8">
        <v>112</v>
      </c>
      <c r="I76" s="8">
        <v>100</v>
      </c>
      <c r="J76" s="8">
        <v>50</v>
      </c>
      <c r="K76" s="8">
        <v>40</v>
      </c>
      <c r="L76" s="8">
        <v>1</v>
      </c>
      <c r="M76" s="8">
        <v>5</v>
      </c>
      <c r="N76" s="8">
        <v>1.72</v>
      </c>
      <c r="O76" s="8">
        <v>72</v>
      </c>
      <c r="P76" s="8">
        <v>77</v>
      </c>
      <c r="Q76" s="9">
        <v>0.93500000000000005</v>
      </c>
      <c r="R76" s="8">
        <v>1</v>
      </c>
      <c r="S76" s="10">
        <v>3</v>
      </c>
      <c r="T76">
        <v>7</v>
      </c>
      <c r="U76">
        <v>2</v>
      </c>
      <c r="V76" t="s">
        <v>2</v>
      </c>
      <c r="W76">
        <v>48</v>
      </c>
      <c r="X76" t="str">
        <f>_xlfn.XLOOKUP(Data[[#This Row],[Team]],[1]!Table2[TeamName],[1]!Table2[Owner])</f>
        <v>Kevin</v>
      </c>
    </row>
    <row r="77" spans="1:24" x14ac:dyDescent="0.3">
      <c r="A77" t="s">
        <v>31</v>
      </c>
      <c r="B77" s="8">
        <v>13</v>
      </c>
      <c r="C77" s="8">
        <v>25</v>
      </c>
      <c r="D77" s="8">
        <v>-7</v>
      </c>
      <c r="E77" s="8">
        <v>20</v>
      </c>
      <c r="F77" s="8">
        <v>10</v>
      </c>
      <c r="G77" s="8">
        <v>0</v>
      </c>
      <c r="H77" s="8">
        <v>125</v>
      </c>
      <c r="I77" s="8">
        <v>138</v>
      </c>
      <c r="J77" s="8">
        <v>62</v>
      </c>
      <c r="K77" s="8">
        <v>45</v>
      </c>
      <c r="L77" s="8">
        <v>4</v>
      </c>
      <c r="M77" s="8">
        <v>9</v>
      </c>
      <c r="N77" s="8">
        <v>1.81</v>
      </c>
      <c r="O77" s="8">
        <v>122</v>
      </c>
      <c r="P77" s="8">
        <v>131</v>
      </c>
      <c r="Q77" s="9">
        <v>0.93100000000000005</v>
      </c>
      <c r="R77" s="8">
        <v>1</v>
      </c>
      <c r="S77" s="10">
        <v>9</v>
      </c>
      <c r="T77">
        <v>7</v>
      </c>
      <c r="U77">
        <v>2</v>
      </c>
      <c r="V77" t="s">
        <v>26</v>
      </c>
      <c r="W77">
        <v>57</v>
      </c>
      <c r="X77" t="str">
        <f>_xlfn.XLOOKUP(Data[[#This Row],[Team]],[1]!Table2[TeamName],[1]!Table2[Owner])</f>
        <v>Chris</v>
      </c>
    </row>
    <row r="78" spans="1:24" x14ac:dyDescent="0.3">
      <c r="A78" t="s">
        <v>29</v>
      </c>
      <c r="B78" s="8">
        <v>14</v>
      </c>
      <c r="C78" s="8">
        <v>25</v>
      </c>
      <c r="D78" s="8">
        <v>0</v>
      </c>
      <c r="E78" s="8">
        <v>12</v>
      </c>
      <c r="F78" s="8">
        <v>9</v>
      </c>
      <c r="G78" s="8">
        <v>1</v>
      </c>
      <c r="H78" s="8">
        <v>126</v>
      </c>
      <c r="I78" s="8">
        <v>182</v>
      </c>
      <c r="J78" s="8">
        <v>34</v>
      </c>
      <c r="K78" s="8">
        <v>46</v>
      </c>
      <c r="L78" s="8">
        <v>1</v>
      </c>
      <c r="M78" s="8">
        <v>12</v>
      </c>
      <c r="N78" s="8">
        <v>3.62</v>
      </c>
      <c r="O78" s="8">
        <v>75</v>
      </c>
      <c r="P78" s="8">
        <v>87</v>
      </c>
      <c r="Q78" s="9">
        <v>0.86199999999999999</v>
      </c>
      <c r="R78" s="8">
        <v>0</v>
      </c>
      <c r="S78" s="10">
        <v>4</v>
      </c>
      <c r="T78">
        <v>7</v>
      </c>
      <c r="U78">
        <v>3</v>
      </c>
      <c r="V78" t="s">
        <v>2</v>
      </c>
      <c r="W78">
        <v>65</v>
      </c>
      <c r="X78" t="str">
        <f>_xlfn.XLOOKUP(Data[[#This Row],[Team]],[1]!Table2[TeamName],[1]!Table2[Owner])</f>
        <v>Spencer</v>
      </c>
    </row>
    <row r="79" spans="1:24" x14ac:dyDescent="0.3">
      <c r="A79" t="s">
        <v>35</v>
      </c>
      <c r="B79" s="8">
        <v>10</v>
      </c>
      <c r="C79" s="8">
        <v>26</v>
      </c>
      <c r="D79" s="8">
        <v>8</v>
      </c>
      <c r="E79" s="8">
        <v>35</v>
      </c>
      <c r="F79" s="8">
        <v>5</v>
      </c>
      <c r="G79" s="8">
        <v>2</v>
      </c>
      <c r="H79" s="8">
        <v>112</v>
      </c>
      <c r="I79" s="8">
        <v>121</v>
      </c>
      <c r="J79" s="8">
        <v>70</v>
      </c>
      <c r="K79" s="8">
        <v>54</v>
      </c>
      <c r="L79" s="8">
        <v>3</v>
      </c>
      <c r="M79" s="8">
        <v>4</v>
      </c>
      <c r="N79" s="8">
        <v>1.34</v>
      </c>
      <c r="O79" s="8">
        <v>75</v>
      </c>
      <c r="P79" s="8">
        <v>79</v>
      </c>
      <c r="Q79" s="9">
        <v>0.94899999999999995</v>
      </c>
      <c r="R79" s="8">
        <v>1</v>
      </c>
      <c r="S79" s="10">
        <v>11</v>
      </c>
      <c r="T79">
        <v>7</v>
      </c>
      <c r="U79">
        <v>3</v>
      </c>
      <c r="V79" t="s">
        <v>26</v>
      </c>
      <c r="W79">
        <v>69</v>
      </c>
      <c r="X79" t="str">
        <f>_xlfn.XLOOKUP(Data[[#This Row],[Team]],[1]!Table2[TeamName],[1]!Table2[Owner])</f>
        <v>Lonya</v>
      </c>
    </row>
    <row r="80" spans="1:24" x14ac:dyDescent="0.3">
      <c r="A80" t="s">
        <v>25</v>
      </c>
      <c r="B80" s="8">
        <v>11</v>
      </c>
      <c r="C80" s="8">
        <v>23</v>
      </c>
      <c r="D80" s="8">
        <v>-4</v>
      </c>
      <c r="E80" s="8">
        <v>49</v>
      </c>
      <c r="F80" s="8">
        <v>8</v>
      </c>
      <c r="G80" s="8">
        <v>0</v>
      </c>
      <c r="H80" s="8">
        <v>118</v>
      </c>
      <c r="I80" s="8">
        <v>127</v>
      </c>
      <c r="J80" s="8">
        <v>42</v>
      </c>
      <c r="K80" s="8">
        <v>28</v>
      </c>
      <c r="L80" s="8">
        <v>3</v>
      </c>
      <c r="M80" s="8">
        <v>5</v>
      </c>
      <c r="N80" s="8">
        <v>1.6</v>
      </c>
      <c r="O80" s="8">
        <v>74</v>
      </c>
      <c r="P80" s="8">
        <v>79</v>
      </c>
      <c r="Q80" s="9">
        <v>0.93700000000000006</v>
      </c>
      <c r="R80" s="8">
        <v>1</v>
      </c>
      <c r="S80" s="10">
        <v>9</v>
      </c>
      <c r="T80">
        <v>7</v>
      </c>
      <c r="U80">
        <v>4</v>
      </c>
      <c r="V80" t="s">
        <v>2</v>
      </c>
      <c r="W80">
        <v>53</v>
      </c>
      <c r="X80" t="str">
        <f>_xlfn.XLOOKUP(Data[[#This Row],[Team]],[1]!Table2[TeamName],[1]!Table2[Owner])</f>
        <v>Avery</v>
      </c>
    </row>
    <row r="81" spans="1:24" x14ac:dyDescent="0.3">
      <c r="A81" t="s">
        <v>32</v>
      </c>
      <c r="B81" s="8">
        <v>12</v>
      </c>
      <c r="C81" s="8">
        <v>16</v>
      </c>
      <c r="D81" s="8">
        <v>10</v>
      </c>
      <c r="E81" s="8">
        <v>16</v>
      </c>
      <c r="F81" s="8">
        <v>5</v>
      </c>
      <c r="G81" s="8">
        <v>1</v>
      </c>
      <c r="H81" s="8">
        <v>96</v>
      </c>
      <c r="I81" s="8">
        <v>69</v>
      </c>
      <c r="J81" s="8">
        <v>51</v>
      </c>
      <c r="K81" s="8">
        <v>43</v>
      </c>
      <c r="L81" s="8">
        <v>1</v>
      </c>
      <c r="M81" s="8">
        <v>9</v>
      </c>
      <c r="N81" s="8">
        <v>2.19</v>
      </c>
      <c r="O81" s="8">
        <v>106</v>
      </c>
      <c r="P81" s="8">
        <v>115</v>
      </c>
      <c r="Q81" s="9">
        <v>0.92200000000000004</v>
      </c>
      <c r="R81" s="8">
        <v>1</v>
      </c>
      <c r="S81" s="10">
        <v>5</v>
      </c>
      <c r="T81">
        <v>7</v>
      </c>
      <c r="U81">
        <v>4</v>
      </c>
      <c r="V81" t="s">
        <v>26</v>
      </c>
      <c r="W81">
        <v>49</v>
      </c>
      <c r="X81" t="str">
        <f>_xlfn.XLOOKUP(Data[[#This Row],[Team]],[1]!Table2[TeamName],[1]!Table2[Owner])</f>
        <v>Scott</v>
      </c>
    </row>
    <row r="82" spans="1:24" x14ac:dyDescent="0.3">
      <c r="A82" t="s">
        <v>34</v>
      </c>
      <c r="B82" s="8">
        <v>9</v>
      </c>
      <c r="C82" s="8">
        <v>24</v>
      </c>
      <c r="D82" s="8">
        <v>4</v>
      </c>
      <c r="E82" s="8">
        <v>30</v>
      </c>
      <c r="F82" s="8">
        <v>10</v>
      </c>
      <c r="G82" s="8">
        <v>2</v>
      </c>
      <c r="H82" s="8">
        <v>114</v>
      </c>
      <c r="I82" s="8">
        <v>140</v>
      </c>
      <c r="J82" s="8">
        <v>42</v>
      </c>
      <c r="K82" s="8">
        <v>29</v>
      </c>
      <c r="L82" s="8">
        <v>1</v>
      </c>
      <c r="M82" s="8">
        <v>6</v>
      </c>
      <c r="N82" s="8">
        <v>1.9</v>
      </c>
      <c r="O82" s="8">
        <v>80</v>
      </c>
      <c r="P82" s="8">
        <v>86</v>
      </c>
      <c r="Q82" s="9">
        <v>0.93</v>
      </c>
      <c r="R82" s="8">
        <v>0</v>
      </c>
      <c r="S82" s="10">
        <v>10</v>
      </c>
      <c r="T82">
        <v>7</v>
      </c>
      <c r="U82">
        <v>5</v>
      </c>
      <c r="V82" t="s">
        <v>2</v>
      </c>
      <c r="W82">
        <v>58</v>
      </c>
      <c r="X82" t="str">
        <f>_xlfn.XLOOKUP(Data[[#This Row],[Team]],[1]!Table2[TeamName],[1]!Table2[Owner])</f>
        <v>Thomas</v>
      </c>
    </row>
    <row r="83" spans="1:24" x14ac:dyDescent="0.3">
      <c r="A83" t="s">
        <v>30</v>
      </c>
      <c r="B83" s="8">
        <v>17</v>
      </c>
      <c r="C83" s="8">
        <v>20</v>
      </c>
      <c r="D83" s="8">
        <v>10</v>
      </c>
      <c r="E83" s="8">
        <v>22</v>
      </c>
      <c r="F83" s="8">
        <v>9</v>
      </c>
      <c r="G83" s="8">
        <v>0</v>
      </c>
      <c r="H83" s="8">
        <v>96</v>
      </c>
      <c r="I83" s="8">
        <v>76</v>
      </c>
      <c r="J83" s="8">
        <v>27</v>
      </c>
      <c r="K83" s="8">
        <v>30</v>
      </c>
      <c r="L83" s="8">
        <v>1</v>
      </c>
      <c r="M83" s="8">
        <v>8</v>
      </c>
      <c r="N83" s="8">
        <v>2</v>
      </c>
      <c r="O83" s="8">
        <v>105</v>
      </c>
      <c r="P83" s="8">
        <v>113</v>
      </c>
      <c r="Q83" s="9">
        <v>0.92900000000000005</v>
      </c>
      <c r="R83" s="8">
        <v>0</v>
      </c>
      <c r="S83" s="10">
        <v>3</v>
      </c>
      <c r="T83">
        <v>7</v>
      </c>
      <c r="U83">
        <v>5</v>
      </c>
      <c r="V83" t="s">
        <v>26</v>
      </c>
      <c r="W83">
        <v>59</v>
      </c>
      <c r="X83" t="str">
        <f>_xlfn.XLOOKUP(Data[[#This Row],[Team]],[1]!Table2[TeamName],[1]!Table2[Owner])</f>
        <v>Robert</v>
      </c>
    </row>
    <row r="84" spans="1:24" x14ac:dyDescent="0.3">
      <c r="A84" t="s">
        <v>36</v>
      </c>
      <c r="B84" s="8">
        <v>11</v>
      </c>
      <c r="C84" s="8">
        <v>17</v>
      </c>
      <c r="D84" s="8">
        <v>11</v>
      </c>
      <c r="E84" s="8">
        <v>8</v>
      </c>
      <c r="F84" s="8">
        <v>7</v>
      </c>
      <c r="G84" s="8">
        <v>0</v>
      </c>
      <c r="H84" s="8">
        <v>79</v>
      </c>
      <c r="I84" s="8">
        <v>90</v>
      </c>
      <c r="J84" s="8">
        <v>24</v>
      </c>
      <c r="K84" s="8">
        <v>34</v>
      </c>
      <c r="L84" s="8">
        <v>0</v>
      </c>
      <c r="M84" s="8">
        <v>2</v>
      </c>
      <c r="N84" s="8">
        <v>1.94</v>
      </c>
      <c r="O84" s="8">
        <v>33</v>
      </c>
      <c r="P84" s="8">
        <v>35</v>
      </c>
      <c r="Q84" s="9">
        <v>0.94299999999999995</v>
      </c>
      <c r="R84" s="8">
        <v>0</v>
      </c>
      <c r="S84" s="10">
        <v>3</v>
      </c>
      <c r="T84">
        <v>7</v>
      </c>
      <c r="U84">
        <v>6</v>
      </c>
      <c r="V84" t="s">
        <v>2</v>
      </c>
      <c r="W84">
        <v>41</v>
      </c>
      <c r="X84" t="str">
        <f>_xlfn.XLOOKUP(Data[[#This Row],[Team]],[1]!Table2[TeamName],[1]!Table2[Owner])</f>
        <v>Dan</v>
      </c>
    </row>
    <row r="85" spans="1:24" x14ac:dyDescent="0.3">
      <c r="A85" t="s">
        <v>28</v>
      </c>
      <c r="B85" s="8">
        <v>11</v>
      </c>
      <c r="C85" s="8">
        <v>15</v>
      </c>
      <c r="D85" s="8">
        <v>-2</v>
      </c>
      <c r="E85" s="8">
        <v>41</v>
      </c>
      <c r="F85" s="8">
        <v>9</v>
      </c>
      <c r="G85" s="8">
        <v>1</v>
      </c>
      <c r="H85" s="8">
        <v>86</v>
      </c>
      <c r="I85" s="8">
        <v>52</v>
      </c>
      <c r="J85" s="8">
        <v>56</v>
      </c>
      <c r="K85" s="8">
        <v>45</v>
      </c>
      <c r="L85" s="8">
        <v>3</v>
      </c>
      <c r="M85" s="8">
        <v>23</v>
      </c>
      <c r="N85" s="8">
        <v>3.44</v>
      </c>
      <c r="O85" s="8">
        <v>172</v>
      </c>
      <c r="P85" s="8">
        <v>195</v>
      </c>
      <c r="Q85" s="9">
        <v>0.88200000000000001</v>
      </c>
      <c r="R85" s="8">
        <v>0</v>
      </c>
      <c r="S85" s="10">
        <v>11</v>
      </c>
      <c r="T85">
        <v>7</v>
      </c>
      <c r="U85">
        <v>6</v>
      </c>
      <c r="V85" t="s">
        <v>26</v>
      </c>
      <c r="W85">
        <v>50</v>
      </c>
      <c r="X85" t="str">
        <f>_xlfn.XLOOKUP(Data[[#This Row],[Team]],[1]!Table2[TeamName],[1]!Table2[Owner])</f>
        <v>Matt</v>
      </c>
    </row>
    <row r="86" spans="1:24" x14ac:dyDescent="0.3">
      <c r="A86" t="s">
        <v>24</v>
      </c>
      <c r="B86" s="8">
        <v>16</v>
      </c>
      <c r="C86" s="8">
        <v>26</v>
      </c>
      <c r="D86" s="8">
        <v>11</v>
      </c>
      <c r="E86" s="8">
        <v>20</v>
      </c>
      <c r="F86" s="8">
        <v>7</v>
      </c>
      <c r="G86" s="8">
        <v>0</v>
      </c>
      <c r="H86" s="8">
        <v>118</v>
      </c>
      <c r="I86" s="8">
        <v>102</v>
      </c>
      <c r="J86" s="8">
        <v>78</v>
      </c>
      <c r="K86" s="8">
        <v>39</v>
      </c>
      <c r="L86" s="8">
        <v>1</v>
      </c>
      <c r="M86" s="8">
        <v>8</v>
      </c>
      <c r="N86" s="8">
        <v>2.71</v>
      </c>
      <c r="O86" s="8">
        <v>69</v>
      </c>
      <c r="P86" s="8">
        <v>77</v>
      </c>
      <c r="Q86" s="9">
        <v>0.89600000000000002</v>
      </c>
      <c r="R86" s="8">
        <v>1</v>
      </c>
      <c r="S86" s="10">
        <v>8</v>
      </c>
      <c r="T86">
        <v>8</v>
      </c>
      <c r="U86">
        <v>1</v>
      </c>
      <c r="V86" t="s">
        <v>2</v>
      </c>
      <c r="W86">
        <v>48</v>
      </c>
      <c r="X86" t="str">
        <f>_xlfn.XLOOKUP(Data[[#This Row],[Team]],[1]!Table2[TeamName],[1]!Table2[Owner])</f>
        <v>Dave</v>
      </c>
    </row>
    <row r="87" spans="1:24" x14ac:dyDescent="0.3">
      <c r="A87" t="s">
        <v>29</v>
      </c>
      <c r="B87" s="8">
        <v>9</v>
      </c>
      <c r="C87" s="8">
        <v>23</v>
      </c>
      <c r="D87" s="8">
        <v>8</v>
      </c>
      <c r="E87" s="8">
        <v>21</v>
      </c>
      <c r="F87" s="8">
        <v>8</v>
      </c>
      <c r="G87" s="8">
        <v>0</v>
      </c>
      <c r="H87" s="8">
        <v>72</v>
      </c>
      <c r="I87" s="8">
        <v>71</v>
      </c>
      <c r="J87" s="8">
        <v>28</v>
      </c>
      <c r="K87" s="8">
        <v>25</v>
      </c>
      <c r="L87" s="8">
        <v>3</v>
      </c>
      <c r="M87" s="8">
        <v>8</v>
      </c>
      <c r="N87" s="8">
        <v>1.96</v>
      </c>
      <c r="O87" s="8">
        <v>96</v>
      </c>
      <c r="P87" s="8">
        <v>104</v>
      </c>
      <c r="Q87" s="9">
        <v>0.92300000000000004</v>
      </c>
      <c r="R87" s="8">
        <v>0</v>
      </c>
      <c r="S87" s="10">
        <v>5</v>
      </c>
      <c r="T87">
        <v>8</v>
      </c>
      <c r="U87">
        <v>1</v>
      </c>
      <c r="V87" t="s">
        <v>26</v>
      </c>
      <c r="W87">
        <v>48</v>
      </c>
      <c r="X87" t="str">
        <f>_xlfn.XLOOKUP(Data[[#This Row],[Team]],[1]!Table2[TeamName],[1]!Table2[Owner])</f>
        <v>Spencer</v>
      </c>
    </row>
    <row r="88" spans="1:24" x14ac:dyDescent="0.3">
      <c r="A88" t="s">
        <v>27</v>
      </c>
      <c r="B88" s="8">
        <v>10</v>
      </c>
      <c r="C88" s="8">
        <v>20</v>
      </c>
      <c r="D88" s="8">
        <v>10</v>
      </c>
      <c r="E88" s="8">
        <v>38</v>
      </c>
      <c r="F88" s="8">
        <v>5</v>
      </c>
      <c r="G88" s="8">
        <v>0</v>
      </c>
      <c r="H88" s="8">
        <v>80</v>
      </c>
      <c r="I88" s="8">
        <v>114</v>
      </c>
      <c r="J88" s="8">
        <v>42</v>
      </c>
      <c r="K88" s="8">
        <v>32</v>
      </c>
      <c r="L88" s="8">
        <v>2</v>
      </c>
      <c r="M88" s="8">
        <v>6</v>
      </c>
      <c r="N88" s="8">
        <v>2.0499999999999998</v>
      </c>
      <c r="O88" s="8">
        <v>73</v>
      </c>
      <c r="P88" s="8">
        <v>79</v>
      </c>
      <c r="Q88" s="9">
        <v>0.92400000000000004</v>
      </c>
      <c r="R88" s="8">
        <v>0</v>
      </c>
      <c r="S88" s="10">
        <v>7</v>
      </c>
      <c r="T88">
        <v>8</v>
      </c>
      <c r="U88">
        <v>2</v>
      </c>
      <c r="V88" t="s">
        <v>2</v>
      </c>
      <c r="W88">
        <v>45</v>
      </c>
      <c r="X88" t="str">
        <f>_xlfn.XLOOKUP(Data[[#This Row],[Team]],[1]!Table2[TeamName],[1]!Table2[Owner])</f>
        <v>Kevin</v>
      </c>
    </row>
    <row r="89" spans="1:24" x14ac:dyDescent="0.3">
      <c r="A89" t="s">
        <v>33</v>
      </c>
      <c r="B89" s="8">
        <v>15</v>
      </c>
      <c r="C89" s="8">
        <v>21</v>
      </c>
      <c r="D89" s="8">
        <v>1</v>
      </c>
      <c r="E89" s="8">
        <v>32</v>
      </c>
      <c r="F89" s="8">
        <v>9</v>
      </c>
      <c r="G89" s="8">
        <v>0</v>
      </c>
      <c r="H89" s="8">
        <v>98</v>
      </c>
      <c r="I89" s="8">
        <v>108</v>
      </c>
      <c r="J89" s="8">
        <v>40</v>
      </c>
      <c r="K89" s="8">
        <v>41</v>
      </c>
      <c r="L89" s="8">
        <v>2</v>
      </c>
      <c r="M89" s="8">
        <v>14</v>
      </c>
      <c r="N89" s="8">
        <v>4.92</v>
      </c>
      <c r="O89" s="8">
        <v>80</v>
      </c>
      <c r="P89" s="8">
        <v>94</v>
      </c>
      <c r="Q89" s="9">
        <v>0.85099999999999998</v>
      </c>
      <c r="R89" s="8">
        <v>0</v>
      </c>
      <c r="S89" s="10">
        <v>5</v>
      </c>
      <c r="T89">
        <v>8</v>
      </c>
      <c r="U89">
        <v>2</v>
      </c>
      <c r="V89" t="s">
        <v>26</v>
      </c>
      <c r="W89">
        <v>52</v>
      </c>
      <c r="X89" t="str">
        <f>_xlfn.XLOOKUP(Data[[#This Row],[Team]],[1]!Table2[TeamName],[1]!Table2[Owner])</f>
        <v>Lucas</v>
      </c>
    </row>
    <row r="90" spans="1:24" x14ac:dyDescent="0.3">
      <c r="A90" t="s">
        <v>31</v>
      </c>
      <c r="B90" s="8">
        <v>15</v>
      </c>
      <c r="C90" s="8">
        <v>29</v>
      </c>
      <c r="D90" s="8">
        <v>-1</v>
      </c>
      <c r="E90" s="8">
        <v>23</v>
      </c>
      <c r="F90" s="8">
        <v>13</v>
      </c>
      <c r="G90" s="8">
        <v>1</v>
      </c>
      <c r="H90" s="8">
        <v>102</v>
      </c>
      <c r="I90" s="8">
        <v>120</v>
      </c>
      <c r="J90" s="8">
        <v>58</v>
      </c>
      <c r="K90" s="8">
        <v>39</v>
      </c>
      <c r="L90" s="8">
        <v>3</v>
      </c>
      <c r="M90" s="8">
        <v>4</v>
      </c>
      <c r="N90" s="8">
        <v>1.34</v>
      </c>
      <c r="O90" s="8">
        <v>73</v>
      </c>
      <c r="P90" s="8">
        <v>77</v>
      </c>
      <c r="Q90" s="9">
        <v>0.94799999999999995</v>
      </c>
      <c r="R90" s="8">
        <v>1</v>
      </c>
      <c r="S90" s="10">
        <v>9</v>
      </c>
      <c r="T90">
        <v>8</v>
      </c>
      <c r="U90">
        <v>3</v>
      </c>
      <c r="V90" t="s">
        <v>2</v>
      </c>
      <c r="W90">
        <v>47</v>
      </c>
      <c r="X90" t="str">
        <f>_xlfn.XLOOKUP(Data[[#This Row],[Team]],[1]!Table2[TeamName],[1]!Table2[Owner])</f>
        <v>Chris</v>
      </c>
    </row>
    <row r="91" spans="1:24" x14ac:dyDescent="0.3">
      <c r="A91" t="s">
        <v>28</v>
      </c>
      <c r="B91" s="8">
        <v>16</v>
      </c>
      <c r="C91" s="8">
        <v>16</v>
      </c>
      <c r="D91" s="8">
        <v>20</v>
      </c>
      <c r="E91" s="8">
        <v>38</v>
      </c>
      <c r="F91" s="8">
        <v>5</v>
      </c>
      <c r="G91" s="8">
        <v>0</v>
      </c>
      <c r="H91" s="8">
        <v>101</v>
      </c>
      <c r="I91" s="8">
        <v>58</v>
      </c>
      <c r="J91" s="8">
        <v>74</v>
      </c>
      <c r="K91" s="8">
        <v>47</v>
      </c>
      <c r="L91" s="8">
        <v>4</v>
      </c>
      <c r="M91" s="8">
        <v>14</v>
      </c>
      <c r="N91" s="8">
        <v>2.6</v>
      </c>
      <c r="O91" s="8">
        <v>138</v>
      </c>
      <c r="P91" s="8">
        <v>152</v>
      </c>
      <c r="Q91" s="9">
        <v>0.90800000000000003</v>
      </c>
      <c r="R91" s="8">
        <v>0</v>
      </c>
      <c r="S91" s="10">
        <v>6</v>
      </c>
      <c r="T91">
        <v>8</v>
      </c>
      <c r="U91">
        <v>3</v>
      </c>
      <c r="V91" t="s">
        <v>26</v>
      </c>
      <c r="W91">
        <v>55</v>
      </c>
      <c r="X91" t="str">
        <f>_xlfn.XLOOKUP(Data[[#This Row],[Team]],[1]!Table2[TeamName],[1]!Table2[Owner])</f>
        <v>Matt</v>
      </c>
    </row>
    <row r="92" spans="1:24" x14ac:dyDescent="0.3">
      <c r="A92" t="s">
        <v>25</v>
      </c>
      <c r="B92" s="8">
        <v>14</v>
      </c>
      <c r="C92" s="8">
        <v>19</v>
      </c>
      <c r="D92" s="8">
        <v>-5</v>
      </c>
      <c r="E92" s="8">
        <v>16</v>
      </c>
      <c r="F92" s="8">
        <v>9</v>
      </c>
      <c r="G92" s="8">
        <v>0</v>
      </c>
      <c r="H92" s="8">
        <v>91</v>
      </c>
      <c r="I92" s="8">
        <v>135</v>
      </c>
      <c r="J92" s="8">
        <v>45</v>
      </c>
      <c r="K92" s="8">
        <v>34</v>
      </c>
      <c r="L92" s="8">
        <v>2</v>
      </c>
      <c r="M92" s="8">
        <v>11</v>
      </c>
      <c r="N92" s="8">
        <v>3.13</v>
      </c>
      <c r="O92" s="8">
        <v>111</v>
      </c>
      <c r="P92" s="8">
        <v>122</v>
      </c>
      <c r="Q92" s="9">
        <v>0.91</v>
      </c>
      <c r="R92" s="8">
        <v>0</v>
      </c>
      <c r="S92" s="10">
        <v>11</v>
      </c>
      <c r="T92">
        <v>8</v>
      </c>
      <c r="U92">
        <v>4</v>
      </c>
      <c r="V92" t="s">
        <v>2</v>
      </c>
      <c r="W92">
        <v>50</v>
      </c>
      <c r="X92" t="str">
        <f>_xlfn.XLOOKUP(Data[[#This Row],[Team]],[1]!Table2[TeamName],[1]!Table2[Owner])</f>
        <v>Avery</v>
      </c>
    </row>
    <row r="93" spans="1:24" x14ac:dyDescent="0.3">
      <c r="A93" t="s">
        <v>36</v>
      </c>
      <c r="B93" s="8">
        <v>12</v>
      </c>
      <c r="C93" s="8">
        <v>18</v>
      </c>
      <c r="D93" s="8">
        <v>-2</v>
      </c>
      <c r="E93" s="8">
        <v>14</v>
      </c>
      <c r="F93" s="8">
        <v>9</v>
      </c>
      <c r="G93" s="8">
        <v>0</v>
      </c>
      <c r="H93" s="8">
        <v>102</v>
      </c>
      <c r="I93" s="8">
        <v>88</v>
      </c>
      <c r="J93" s="8">
        <v>17</v>
      </c>
      <c r="K93" s="8">
        <v>27</v>
      </c>
      <c r="L93" s="8">
        <v>0</v>
      </c>
      <c r="M93" s="8">
        <v>7</v>
      </c>
      <c r="N93" s="8">
        <v>4.28</v>
      </c>
      <c r="O93" s="8">
        <v>32</v>
      </c>
      <c r="P93" s="8">
        <v>39</v>
      </c>
      <c r="Q93" s="9">
        <v>0.82099999999999995</v>
      </c>
      <c r="R93" s="8">
        <v>0</v>
      </c>
      <c r="S93" s="10">
        <v>2</v>
      </c>
      <c r="T93">
        <v>8</v>
      </c>
      <c r="U93">
        <v>4</v>
      </c>
      <c r="V93" t="s">
        <v>26</v>
      </c>
      <c r="W93">
        <v>50</v>
      </c>
      <c r="X93" t="str">
        <f>_xlfn.XLOOKUP(Data[[#This Row],[Team]],[1]!Table2[TeamName],[1]!Table2[Owner])</f>
        <v>Dan</v>
      </c>
    </row>
    <row r="94" spans="1:24" x14ac:dyDescent="0.3">
      <c r="A94" t="s">
        <v>34</v>
      </c>
      <c r="B94" s="8">
        <v>13</v>
      </c>
      <c r="C94" s="8">
        <v>23</v>
      </c>
      <c r="D94" s="8">
        <v>-7</v>
      </c>
      <c r="E94" s="8">
        <v>16</v>
      </c>
      <c r="F94" s="8">
        <v>11</v>
      </c>
      <c r="G94" s="8">
        <v>0</v>
      </c>
      <c r="H94" s="8">
        <v>93</v>
      </c>
      <c r="I94" s="8">
        <v>128</v>
      </c>
      <c r="J94" s="8">
        <v>48</v>
      </c>
      <c r="K94" s="8">
        <v>24</v>
      </c>
      <c r="L94" s="8">
        <v>1</v>
      </c>
      <c r="M94" s="8">
        <v>9</v>
      </c>
      <c r="N94" s="8">
        <v>2.95</v>
      </c>
      <c r="O94" s="8">
        <v>70</v>
      </c>
      <c r="P94" s="8">
        <v>79</v>
      </c>
      <c r="Q94" s="9">
        <v>0.88600000000000001</v>
      </c>
      <c r="R94" s="8">
        <v>0</v>
      </c>
      <c r="S94" s="10">
        <v>3</v>
      </c>
      <c r="T94">
        <v>8</v>
      </c>
      <c r="U94">
        <v>5</v>
      </c>
      <c r="V94" t="s">
        <v>2</v>
      </c>
      <c r="W94">
        <v>51</v>
      </c>
      <c r="X94" t="str">
        <f>_xlfn.XLOOKUP(Data[[#This Row],[Team]],[1]!Table2[TeamName],[1]!Table2[Owner])</f>
        <v>Thomas</v>
      </c>
    </row>
    <row r="95" spans="1:24" x14ac:dyDescent="0.3">
      <c r="A95" t="s">
        <v>35</v>
      </c>
      <c r="B95" s="8">
        <v>14</v>
      </c>
      <c r="C95" s="8">
        <v>17</v>
      </c>
      <c r="D95" s="8">
        <v>4</v>
      </c>
      <c r="E95" s="8">
        <v>30</v>
      </c>
      <c r="F95" s="8">
        <v>5</v>
      </c>
      <c r="G95" s="8">
        <v>0</v>
      </c>
      <c r="H95" s="8">
        <v>101</v>
      </c>
      <c r="I95" s="8">
        <v>109</v>
      </c>
      <c r="J95" s="8">
        <v>57</v>
      </c>
      <c r="K95" s="8">
        <v>50</v>
      </c>
      <c r="L95" s="8">
        <v>3</v>
      </c>
      <c r="M95" s="8">
        <v>5</v>
      </c>
      <c r="N95" s="8">
        <v>1.62</v>
      </c>
      <c r="O95" s="8">
        <v>79</v>
      </c>
      <c r="P95" s="8">
        <v>84</v>
      </c>
      <c r="Q95" s="9">
        <v>0.94</v>
      </c>
      <c r="R95" s="8">
        <v>1</v>
      </c>
      <c r="S95" s="10">
        <v>11</v>
      </c>
      <c r="T95">
        <v>8</v>
      </c>
      <c r="U95">
        <v>5</v>
      </c>
      <c r="V95" t="s">
        <v>26</v>
      </c>
      <c r="W95">
        <v>53</v>
      </c>
      <c r="X95" t="str">
        <f>_xlfn.XLOOKUP(Data[[#This Row],[Team]],[1]!Table2[TeamName],[1]!Table2[Owner])</f>
        <v>Lonya</v>
      </c>
    </row>
    <row r="96" spans="1:24" x14ac:dyDescent="0.3">
      <c r="A96" t="s">
        <v>30</v>
      </c>
      <c r="B96" s="8">
        <v>10</v>
      </c>
      <c r="C96" s="8">
        <v>16</v>
      </c>
      <c r="D96" s="8">
        <v>2</v>
      </c>
      <c r="E96" s="8">
        <v>20</v>
      </c>
      <c r="F96" s="8">
        <v>9</v>
      </c>
      <c r="G96" s="8">
        <v>0</v>
      </c>
      <c r="H96" s="8">
        <v>76</v>
      </c>
      <c r="I96" s="8">
        <v>50</v>
      </c>
      <c r="J96" s="8">
        <v>29</v>
      </c>
      <c r="K96" s="8">
        <v>28</v>
      </c>
      <c r="L96" s="8">
        <v>2</v>
      </c>
      <c r="M96" s="8">
        <v>13</v>
      </c>
      <c r="N96" s="8">
        <v>3.21</v>
      </c>
      <c r="O96" s="8">
        <v>94</v>
      </c>
      <c r="P96" s="8">
        <v>107</v>
      </c>
      <c r="Q96" s="9">
        <v>0.879</v>
      </c>
      <c r="R96" s="8">
        <v>0</v>
      </c>
      <c r="S96" s="10">
        <v>1</v>
      </c>
      <c r="T96">
        <v>8</v>
      </c>
      <c r="U96">
        <v>6</v>
      </c>
      <c r="V96" t="s">
        <v>2</v>
      </c>
      <c r="W96">
        <v>49</v>
      </c>
      <c r="X96" t="str">
        <f>_xlfn.XLOOKUP(Data[[#This Row],[Team]],[1]!Table2[TeamName],[1]!Table2[Owner])</f>
        <v>Robert</v>
      </c>
    </row>
    <row r="97" spans="1:24" x14ac:dyDescent="0.3">
      <c r="A97" t="s">
        <v>32</v>
      </c>
      <c r="B97" s="8">
        <v>17</v>
      </c>
      <c r="C97" s="8">
        <v>22</v>
      </c>
      <c r="D97" s="8">
        <v>10</v>
      </c>
      <c r="E97" s="8">
        <v>20</v>
      </c>
      <c r="F97" s="8">
        <v>12</v>
      </c>
      <c r="G97" s="8">
        <v>0</v>
      </c>
      <c r="H97" s="8">
        <v>102</v>
      </c>
      <c r="I97" s="8">
        <v>68</v>
      </c>
      <c r="J97" s="8">
        <v>44</v>
      </c>
      <c r="K97" s="8">
        <v>43</v>
      </c>
      <c r="L97" s="8">
        <v>1</v>
      </c>
      <c r="M97" s="8">
        <v>13</v>
      </c>
      <c r="N97" s="8">
        <v>2.65</v>
      </c>
      <c r="O97" s="8">
        <v>103</v>
      </c>
      <c r="P97" s="8">
        <v>116</v>
      </c>
      <c r="Q97" s="9">
        <v>0.88800000000000001</v>
      </c>
      <c r="R97" s="8">
        <v>0</v>
      </c>
      <c r="S97" s="10">
        <v>10</v>
      </c>
      <c r="T97">
        <v>8</v>
      </c>
      <c r="U97">
        <v>6</v>
      </c>
      <c r="V97" t="s">
        <v>26</v>
      </c>
      <c r="W97">
        <v>51</v>
      </c>
      <c r="X97" t="str">
        <f>_xlfn.XLOOKUP(Data[[#This Row],[Team]],[1]!Table2[TeamName],[1]!Table2[Owner])</f>
        <v>Scott</v>
      </c>
    </row>
    <row r="102" spans="1:24" x14ac:dyDescent="0.3">
      <c r="A102" t="s">
        <v>37</v>
      </c>
      <c r="B102" t="s">
        <v>38</v>
      </c>
      <c r="E102" t="s">
        <v>39</v>
      </c>
      <c r="H102" t="s">
        <v>40</v>
      </c>
      <c r="K102" t="s">
        <v>41</v>
      </c>
    </row>
    <row r="103" spans="1:24" x14ac:dyDescent="0.3">
      <c r="A103" t="s">
        <v>0</v>
      </c>
      <c r="B103" t="s">
        <v>42</v>
      </c>
      <c r="C103" t="s">
        <v>43</v>
      </c>
      <c r="D103" t="s">
        <v>44</v>
      </c>
      <c r="E103" t="s">
        <v>42</v>
      </c>
      <c r="F103" t="s">
        <v>43</v>
      </c>
      <c r="G103" t="s">
        <v>44</v>
      </c>
      <c r="H103" t="s">
        <v>42</v>
      </c>
      <c r="I103" t="s">
        <v>43</v>
      </c>
      <c r="J103" t="s">
        <v>44</v>
      </c>
      <c r="K103" t="s">
        <v>42</v>
      </c>
      <c r="L103" t="s">
        <v>43</v>
      </c>
      <c r="M103" t="s">
        <v>44</v>
      </c>
    </row>
    <row r="104" spans="1:24" x14ac:dyDescent="0.3">
      <c r="A104" t="s">
        <v>45</v>
      </c>
    </row>
    <row r="105" spans="1:24" x14ac:dyDescent="0.3">
      <c r="A105" t="s">
        <v>46</v>
      </c>
    </row>
    <row r="106" spans="1:24" x14ac:dyDescent="0.3">
      <c r="A106" t="s">
        <v>47</v>
      </c>
      <c r="B106" t="s">
        <v>48</v>
      </c>
      <c r="F106" t="s">
        <v>49</v>
      </c>
      <c r="J106" t="s">
        <v>50</v>
      </c>
    </row>
    <row r="107" spans="1:24" x14ac:dyDescent="0.3">
      <c r="B107" t="s">
        <v>51</v>
      </c>
      <c r="F107" t="s">
        <v>51</v>
      </c>
      <c r="J107" t="s">
        <v>51</v>
      </c>
    </row>
    <row r="108" spans="1:24" x14ac:dyDescent="0.3">
      <c r="A108" t="s">
        <v>0</v>
      </c>
      <c r="B108" t="s">
        <v>1</v>
      </c>
      <c r="C108" t="s">
        <v>2</v>
      </c>
      <c r="D108" t="s">
        <v>5</v>
      </c>
      <c r="F108" t="s">
        <v>1</v>
      </c>
      <c r="G108" t="s">
        <v>2</v>
      </c>
      <c r="H108" t="s">
        <v>5</v>
      </c>
      <c r="J108" t="s">
        <v>1</v>
      </c>
      <c r="K108" t="s">
        <v>2</v>
      </c>
      <c r="L108" t="s">
        <v>5</v>
      </c>
    </row>
    <row r="111" spans="1:24" x14ac:dyDescent="0.3">
      <c r="B111" t="s">
        <v>52</v>
      </c>
    </row>
    <row r="112" spans="1:24" x14ac:dyDescent="0.3">
      <c r="B112" t="s">
        <v>53</v>
      </c>
    </row>
    <row r="113" spans="1:4" x14ac:dyDescent="0.3">
      <c r="A113" t="s">
        <v>0</v>
      </c>
      <c r="B113" t="s">
        <v>1</v>
      </c>
      <c r="C113" t="s">
        <v>2</v>
      </c>
      <c r="D113" t="s">
        <v>5</v>
      </c>
    </row>
    <row r="117" spans="1:4" x14ac:dyDescent="0.3">
      <c r="B117" t="s">
        <v>54</v>
      </c>
    </row>
    <row r="118" spans="1:4" x14ac:dyDescent="0.3">
      <c r="B118" t="s">
        <v>1</v>
      </c>
      <c r="C118" t="s">
        <v>2</v>
      </c>
      <c r="D118" t="s">
        <v>5</v>
      </c>
    </row>
    <row r="122" spans="1:4" x14ac:dyDescent="0.3">
      <c r="B122" t="s">
        <v>55</v>
      </c>
    </row>
    <row r="123" spans="1:4" x14ac:dyDescent="0.3">
      <c r="B123" t="s">
        <v>1</v>
      </c>
      <c r="C123" t="s">
        <v>2</v>
      </c>
      <c r="D123" t="s">
        <v>5</v>
      </c>
    </row>
  </sheetData>
  <conditionalFormatting sqref="A2:A97">
    <cfRule type="cellIs" dxfId="20" priority="1" operator="equal">
      <formula>"Auston Powers"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SourceData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Soluk Family</dc:creator>
  <cp:lastModifiedBy>Soluk Family</cp:lastModifiedBy>
  <dcterms:created xsi:type="dcterms:W3CDTF">2025-12-04T14:16:36Z</dcterms:created>
  <dcterms:modified xsi:type="dcterms:W3CDTF">2025-12-04T14:17:51Z</dcterms:modified>
</cp:coreProperties>
</file>